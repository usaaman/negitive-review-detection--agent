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<sst xmlns="http://schemas.openxmlformats.org/spreadsheetml/2006/main" count="229" uniqueCount="111">
  <si>
    <t>Business Name</t>
  </si>
  <si>
    <t>Address</t>
  </si>
  <si>
    <t>Phone</t>
  </si>
  <si>
    <t>Email</t>
  </si>
  <si>
    <t>Business Rating</t>
  </si>
  <si>
    <t>Reviewer Name</t>
  </si>
  <si>
    <t>Review Stars</t>
  </si>
  <si>
    <t>Review Text</t>
  </si>
  <si>
    <t>Review Date</t>
  </si>
  <si>
    <t>Review Link</t>
  </si>
  <si>
    <t>Business Maps Link</t>
  </si>
  <si>
    <t>Burger King</t>
  </si>
  <si>
    <t>Passenger-only zone, Floor 1. Departures, 35230 Gran Canaria, Las Palmas, Spain</t>
  </si>
  <si>
    <t>+34 661 45 56 73</t>
  </si>
  <si>
    <t>N/A</t>
  </si>
  <si>
    <t>Jonathan Goodman</t>
  </si>
  <si>
    <t>Please be aware this restaurant closes their shutters 15-20 minutes before closing time to prevent new customers coming in. If you were still inside eating your food this would imped your escape in an emergency. Instead they should just close the kiosks not the shutters until customers have left.
This restaurant doesn't know how to run a quality fast food business. I waited 20 minutes for my order which was expected due to how busy the restaurant was but seeing staff prepare 10-20 bags along the front counter was not good. Food sat in bags getting cold waiting for them to be fulfilled. Staff didn't clearly shout order numbers when food was ready and there was no screen with order numbers displayed leaving people confused and often missing their order when it was ready.
It was also clear to me in the 20 minute wait that the staff had batch cooked a load of food instead of cooking to order or JIT. There appeared to be a pile of 20-30 burgers in the food cabinet and chips sat on the side getting cold.
When I received my order it was missing food items and also paid for sauces and kids toys.</t>
  </si>
  <si>
    <t>2026-04-10T15:25:10.966Z</t>
  </si>
  <si>
    <t>Brych Rees</t>
  </si>
  <si>
    <t>Pretty unfortunate experience here. Staff seemed unenthusiastic, slow and at times angry. Some staff screaming at customers the store was closing.
The wait for food was for some over an hour with multiple people leaving in mass because they were going to miss their flight.
The food itself was cold and at least one thing per item was wrong with each order. A friend of mine ordered a plain cheese burger which came basically as a block of cheese between two buns.
Burger King what are you doing to your staff to solicit this kind of farcical service? Do better.</t>
  </si>
  <si>
    <t>2026-04-06T19:42:03.484Z</t>
  </si>
  <si>
    <t>Lawrence O Toole</t>
  </si>
  <si>
    <t>Absolute hell hole. Chaos system no screens working to display when order was ready. 30 euros for 2 burgers and 1 chips and drink. Food cold. Floor filthy. Avoid at all costs. Bring your own food.</t>
  </si>
  <si>
    <t>2026-04-11T17:51:17.280Z</t>
  </si>
  <si>
    <t>Mark O'Sullivan</t>
  </si>
  <si>
    <t>Avoid. Avoid.  Avoid. We didn’t know we were ordering close to closing so we didn’t realise that when we went back to replace our Stone Cold burger the replacement, the wrong burger,  would be stonier and just as cold.  And yuck. And no offence to the Burger King bag fillers who have to deal with airport customers but … colder than the burgers.  You don’t care and we care even less.  Burger Kings in airports are like the bubonic plague: there’s no good version.  Adieu.</t>
  </si>
  <si>
    <t>2026-03-30T19:15:31.665Z</t>
  </si>
  <si>
    <t>Edington UK</t>
  </si>
  <si>
    <t>Grubby uncared for burger joint. Dirty tables, liquids over the floor. Questionable food hygiene standards, distinct lack of segregation of tongs and no apparent hand washing.</t>
  </si>
  <si>
    <t>2026-05-13T17:21:14.895Z</t>
  </si>
  <si>
    <t>Xavi Ribas</t>
  </si>
  <si>
    <t>Expensive, 45€ for 2 burguers and 1 kid menu, because you can only select the XL size, we had to throw all the drinks, kept some fries for the plane, but still overpriced</t>
  </si>
  <si>
    <t>2026-04-06T10:15:50.707Z</t>
  </si>
  <si>
    <t>Moritz</t>
  </si>
  <si>
    <t>Waited forever, they forgot to call my number and found the bag with cold food in a corner. Very rude staff telling it's my problem, food was cold. Do not buy here.</t>
  </si>
  <si>
    <t>2026-03-03T14:05:09.870Z</t>
  </si>
  <si>
    <t>Philipp Emmenegger</t>
  </si>
  <si>
    <t>Very bad service. 1 hour!?? For a stupid burger. Zero staff. Crazy stupid team</t>
  </si>
  <si>
    <t>2026-04-16T11:27:15.305Z</t>
  </si>
  <si>
    <t>Harry Horrigan</t>
  </si>
  <si>
    <t>One of the worst Burger Kings I’ve been to so far
No card payment
No Fanta
Rude service</t>
  </si>
  <si>
    <t>2026-04-01T10:10:21.818Z</t>
  </si>
  <si>
    <t>Lewis One</t>
  </si>
  <si>
    <t>They call it ice cream but it doesn't even look like it. It's just an overly sweet slime. Inedible! €3,75</t>
  </si>
  <si>
    <t>2026-03-10T15:57:23.700Z</t>
  </si>
  <si>
    <t>Gran Canaria Airport, GC-1, 35230 Las Palmas de Gran Canaria, Las Palmas, Spain</t>
  </si>
  <si>
    <t>+34 667 65 95 28</t>
  </si>
  <si>
    <t>Thilo Weiss</t>
  </si>
  <si>
    <t>Very disappointing experience at Burger King Gran Canaria Airport.
We ordered a €16 menu with a spicy chicken burger – and it came without any sauce at all. The burger was extremely dry and honestly one of the worst I’ve ever had at Burger King.
The fries were even worse: they were layered in two levels – at the bottom there were old, soggy, dry, and unsalted fries, and on top just a few fresh ones were added. I actually saw this being done, which is really unacceptable.
What makes this especially frustrating is that I usually like Burger King and have had much better experiences at other locations. This one, however, was by far the worst.
Very disappointing – I would not recommend this place.</t>
  </si>
  <si>
    <t>2026-04-07T12:09:15.831Z</t>
  </si>
  <si>
    <t>Stefan Ekman</t>
  </si>
  <si>
    <t>18.45 euro for a meal!! I got potato wedges instead of normal fries, i took one minute of arguing before staff changes to what I actually ordered and with an attitude.. the food? Burger was one of worst I ever had, think been lying around for a while as it was cold. Stay away!</t>
  </si>
  <si>
    <t>2026-03-12T12:03:20.104Z</t>
  </si>
  <si>
    <t>Andrés Leonardo Martínez Ortiz</t>
  </si>
  <si>
    <t>​The food was decent, but the overall experience was let down by the lack of cleanliness. The tables were unclean, the trash bins were overflowing, and there was dirt on the floor. I hope the management addresses these issues soon.</t>
  </si>
  <si>
    <t>2025-09-17T14:05:02.899Z</t>
  </si>
  <si>
    <t>Edo Krk</t>
  </si>
  <si>
    <t>Total rip-off. I ordered Big Kings but got burgers that looked like mini versions. When I asked, they claimed it was the “new size,” yet everyone around us had normal Burger King sized burgers. Felt very misleading and honestly like a scam aimed at unsuspecting travelers. Definitely not worth the airport prices.</t>
  </si>
  <si>
    <t>2026-05-30T16:13:34.049Z</t>
  </si>
  <si>
    <t>Jānis Artmanis</t>
  </si>
  <si>
    <t>WARNING: Do NOT eat at the Burger King outlets at this airport!
This was an absolutely outrageous experience. Before my flight, I ordered a burger meal at the self-service kiosk, with ZERO warning that there was an enormous backlog of orders.
What followed was pure chaos. An employee was shouting out order numbers that no one came to collect anymore — because after waiting so long, people were forced to leave or risk missing their flights!!! Even though I arrived at the airport well in advance (1 hour before departure), I NEVER received my order because boarding had already begun.
The waiting area was full of stressed, frustrated passengers realizing they would not make it in time. At the pickup counter, piles of unclaimed orders were just sitting there — a complete waste and a clear sign of total mismanagement.
And here’s the most deceptive part: there are NO screens showing the order queue or your position in line. Customers are kept completely in the dark. If I had known this, I would NEVER have placed an order.
This is outright customer deception. Does the airport seriously not supervise what is going on here?! I was badly burned by this place a year ago already — and shockingly, NOTHING has changed since then.
I see similar comments here going back a long time. Can you explain why this issue has still not been fixed?</t>
  </si>
  <si>
    <t>2026-01-25T19:29:59.969Z</t>
  </si>
  <si>
    <t>Anders Folkesson</t>
  </si>
  <si>
    <t>I usually prefer Burger King when I eat hamburgers at one of the big chains, but today I came across a low-water mark here at the Airport. The bread was completely dry, and the normal taste was not there either....So hence this fantastic rating. Couldn't eat it!</t>
  </si>
  <si>
    <t>2026-03-01T12:52:32.762Z</t>
  </si>
  <si>
    <t>Fionn Collins</t>
  </si>
  <si>
    <t>The slowest service ever! I agree with previous comments regarding the screens, there is none it’s just people shouting numbers! I wear hearing aids so this was extremely difficult for me. Fix your screens and speed up the service. Workers just chatting to each other and ignoring customers waiting to be served</t>
  </si>
  <si>
    <t>2026-03-11T17:36:19.002Z</t>
  </si>
  <si>
    <t>Bob Dobbalina</t>
  </si>
  <si>
    <t>Not like a normal Burger King. Very expensive as they only seem to sell the expensive burgers here so you can't buy a basic cheeseburger, unless they have hidden it away somewhere on the order screen where you can't find it... The only way you can get a cheap cheeseburger is to order a €6.95 kids meal which comes with a box and a toy that you don't need (despite me saying I don't need the toy) creating unnecessary waste. The food was practically cold so I'm glad I didn't pay €15-€20 for the normal adults food. The restaurant was filthy with uncleared tables and dirty floors. Probably the worst Burger King I've ever been to!</t>
  </si>
  <si>
    <t>2026-02-06T17:35:52.783Z</t>
  </si>
  <si>
    <t>John Anderson</t>
  </si>
  <si>
    <t>Debacle. Don’t risk ordering here you’ll possibly miss your flight. Waited 20 mins for a water and 3 whoppers at over €35. They operate an insane system where they part fill bags with bits of orders but never complete one! Makes no sense and takes forever. Cold food. Wound up customers stressing about their flight. Food is generally getting worse in this chain too. Hang your heads in shame.</t>
  </si>
  <si>
    <t>2026-01-04T19:10:12.397Z</t>
  </si>
  <si>
    <t>Fred</t>
  </si>
  <si>
    <t>The food is ok, but please add felt pads (or another type of protection) under the chair legs? The constant scraping noise is very unpleasant.</t>
  </si>
  <si>
    <t>2026-04-18T13:16:48.748Z</t>
  </si>
  <si>
    <t>The Garden</t>
  </si>
  <si>
    <t>Gran Canaria Airport, Terminal pasajeros, 35230 Las Palmas, Spain</t>
  </si>
  <si>
    <t>+34 607 52 88 75</t>
  </si>
  <si>
    <t>ssp@sodali.com</t>
  </si>
  <si>
    <t>Marina Dubinina</t>
  </si>
  <si>
    <t>The pizza had tuna on it without the staff informing us beforehand (which looked like chicken). The spring rolls were soggy, almost like pancakes, and we still have no idea what was inside them. The burgers were raw, and when we asked the staff to cook them further, they took the patties out of the buns with their bare hands. Last but not least, the menu advertised a “buffet,” but the only buffet option was salad, while you could choose only one of the hot dishes. Overall, it was a very disappointing experience.</t>
  </si>
  <si>
    <t>2026-05-11T13:24:55.797Z</t>
  </si>
  <si>
    <t>Olivia Enghed</t>
  </si>
  <si>
    <t>We stopped here to eat at the buffet, but it wasn’t a real buffet – you could only choose from a few old pre-made dishes. The food was cold and tasteless, and you could tell it had been sitting out for a long time. The spaghetti was crunchy and the fish was tough. We paid 400 SEK for cold and disgusting food. The staff was rude, and we will never eat here again!</t>
  </si>
  <si>
    <t>2025-07-09T14:30:34.661Z</t>
  </si>
  <si>
    <t>Caroline Enghed</t>
  </si>
  <si>
    <t>The food was terrible cold and completely lacking in flavor. On top of that, it was shockingly expensive considering the poor quality. I want to warn others not to waste their money here. I’ll definitely never eat here again!</t>
  </si>
  <si>
    <t>2025-07-09T14:26:55.683Z</t>
  </si>
  <si>
    <t>Daniel Pollitt</t>
  </si>
  <si>
    <t>Worst food I have ever had. I order the “English breakfast”. Ate two bites and left the whole thing. Don’t bother !! Awful</t>
  </si>
  <si>
    <t>2025-11-10T11:34:40.664Z</t>
  </si>
  <si>
    <t>P</t>
  </si>
  <si>
    <t>Beware, charged 39 euros for 2 x menu del dia, price should be 22 euros, there are very few advertised prices, you get your food and then line up to pay, by the time you do pay your meal is cold, the queue was only small but due  to zero organisation or too few staff everyone's meal is cold. No receipt was offered by the cashier and it was cash only due to a non working card machine, be warned.</t>
  </si>
  <si>
    <t>2023-11-18T12:58:22.663Z</t>
  </si>
  <si>
    <t>T M</t>
  </si>
  <si>
    <t>I’d give this a zero if I were able to.
The food was abysmal, the service was non-existent and the staff….RUDE! Complete waste of time.</t>
  </si>
  <si>
    <t>2025-11-10T11:27:23.415Z</t>
  </si>
  <si>
    <t>Joshua Paradiso</t>
  </si>
  <si>
    <t>The English breakfast at the airport food cafe garden was a letdown . The bacon was incredibly greasy, and the sausages were tasteless and seemed like they had been sitting under a heat lamp for hours. Even the toast was a cut tasteless baguette and served with no butter. To top it off, the baked beans were lukewarm and lacked flavor.
It's disheartening to pay a premium price for a meal that falls so far short of expectations. I couldn't help but wonder if they had any pride in serving such a subpar breakfast. Overall, the English breakfast was a culinary disaster and a complete waste of money.</t>
  </si>
  <si>
    <t>2023-09-07T20:20:15.731Z</t>
  </si>
  <si>
    <t>Anders Olsson</t>
  </si>
  <si>
    <t>Horrible service. I went up to the cash register to order, but the person working there didn't say hi or acknowledge me during the 30 seconds I stood there before leaving. The dish of the day is some kind of buffet, and it looked really boring.</t>
  </si>
  <si>
    <t>2023-02-22T15:12:54.904Z</t>
  </si>
  <si>
    <t>michael brown</t>
  </si>
  <si>
    <t>never eat here food and staff are terrible</t>
  </si>
  <si>
    <t>2025-07-20T13:45:31.651Z</t>
  </si>
  <si>
    <t>Ram Zamanov</t>
  </si>
  <si>
    <t>Who doesnt have oatmilk in 21st century???</t>
  </si>
  <si>
    <t>2025-05-13T06:22:39.125Z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</si>
</sst>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width="16.7109375" customWidth="1"/>
    <col min="2" max="2" width="82.7109375" customWidth="1"/>
    <col min="3" max="3" width="19.7109375" customWidth="1"/>
    <col min="4" max="4" width="17.7109375" customWidth="1"/>
    <col min="5" max="5" width="18.7109375" customWidth="1"/>
    <col min="6" max="6" width="33.7109375" customWidth="1"/>
    <col min="7" max="7" width="15.7109375" customWidth="1"/>
    <col min="8" max="8" width="1351.7109375" customWidth="1"/>
    <col min="9" max="9" width="27.7109375" customWidth="1"/>
    <col min="10" max="10" width="14.7109375" customWidth="1"/>
    <col min="11" max="11" width="21.7109375" customWidth="1"/>
  </cols>
  <sheetData>
    <row r="1" spans="1:11" ht="26" customHeight="1">
      <c r="A1" s="1" t="s">
        <v>0</v>
      </c>
      <c r="B1" s="1" t="s">
        <v>1</v>
      </c>
      <c r="C1" s="1" t="s">
        <v>2</v>
      </c>
      <c r="D1" s="1" t="s">
        <v>3</v>
      </c>
      <c r="E1" s="1" t="s">
        <v>4</v>
      </c>
      <c r="F1" s="1" t="s">
        <v>5</v>
      </c>
      <c r="G1" s="1" t="s">
        <v>6</v>
      </c>
      <c r="H1" s="1" t="s">
        <v>7</v>
      </c>
      <c r="I1" s="1" t="s">
        <v>8</v>
      </c>
      <c r="J1" s="1" t="s">
        <v>9</v>
      </c>
      <c r="K1" s="1" t="s">
        <v>10</v>
      </c>
    </row>
    <row r="2" spans="1:11" ht="20" customHeight="1">
      <c r="A2" s="2" t="s">
        <v>11</v>
      </c>
      <c r="B2" s="2" t="s">
        <v>12</v>
      </c>
      <c r="C2" s="2" t="s">
        <v>13</v>
      </c>
      <c r="D2" s="2" t="s">
        <v>14</v>
      </c>
      <c r="E2" s="3">
        <v>4.4</v>
      </c>
      <c r="F2" s="4" t="s">
        <v>15</v>
      </c>
      <c r="G2" s="3">
        <v>1</v>
      </c>
      <c r="H2" s="2" t="s">
        <v>16</v>
      </c>
      <c r="I2" s="3" t="s">
        <v>17</v>
      </c>
      <c r="J2" s="5" t="str">
        <f>HYPERLINK("https://www.google.com/maps/reviews/data=!4m8!14m7!1m6!2m5!1sCi9DQUlRQUNvZENodHljRjlvT2pad09FWnhWRTV5UzA5VGFGcHZWbmxvUVdsTE9IYxAB!2m1!1s0x0:0xff2ee5d932096b66!3m1!1s2@1:CAIQACodChtycF9oOjZwOEZxVE5yS09TaFpvVnloQWlLOHc%7C%7C?hl=en", "View Link")</f>
        <v>View Link</v>
      </c>
      <c r="K2" s="5">
        <f>HYPERLINK("https://www.google.com/maps/search/?api=1&amp;query=Burger%20King&amp;query_place_id=ChIJNxVihKOjQAwRZmsJMtnlLv8", "Open Map")</f>
        <v>0</v>
      </c>
    </row>
    <row r="3" spans="1:11" ht="20" customHeight="1">
      <c r="A3" s="2"/>
      <c r="B3" s="2"/>
      <c r="C3" s="2"/>
      <c r="D3" s="2"/>
      <c r="E3" s="3"/>
      <c r="F3" s="4" t="s">
        <v>18</v>
      </c>
      <c r="G3" s="3">
        <v>1</v>
      </c>
      <c r="H3" s="2" t="s">
        <v>19</v>
      </c>
      <c r="I3" s="3" t="s">
        <v>20</v>
      </c>
      <c r="J3" s="5" t="str">
        <f>HYPERLINK("https://www.google.com/maps/reviews/data=!4m8!14m7!1m6!2m5!1sCi9DQUlRQUNvZENodHljRjlvT2xWbldGcEZOV2x1Y2pkVlJXdDRUbVJRWXkxRFYzYxAB!2m1!1s0x0:0xff2ee5d932096b66!3m1!1s2@1:CAIQACodChtycF9oOlVnWFpFNWlucjdVRWt4TmRQYy1DV3c%7C%7C?hl=en", "View Link")</f>
        <v>View Link</v>
      </c>
      <c r="K3" s="5"/>
    </row>
    <row r="4" spans="1:11" ht="20" customHeight="1">
      <c r="A4" s="2"/>
      <c r="B4" s="2"/>
      <c r="C4" s="2"/>
      <c r="D4" s="2"/>
      <c r="E4" s="3"/>
      <c r="F4" s="4" t="s">
        <v>21</v>
      </c>
      <c r="G4" s="3">
        <v>1</v>
      </c>
      <c r="H4" s="2" t="s">
        <v>22</v>
      </c>
      <c r="I4" s="3" t="s">
        <v>23</v>
      </c>
      <c r="J4" s="5" t="str">
        <f>HYPERLINK("https://www.google.com/maps/reviews/data=!4m8!14m7!1m6!2m5!1sCi9DQUlRQUNvZENodHljRjlvT21kck5YZDRTemw1ZEhoTlMyNVdSMTh6VVRrM2FWRRAB!2m1!1s0x0:0xff2ee5d932096b66!3m1!1s2@1:CAIQACodChtycF9oOmdrNXd4Szl5dHhNS25WR18zUTk3aVE%7C%7C?hl=en", "View Link")</f>
        <v>View Link</v>
      </c>
      <c r="K4" s="5"/>
    </row>
    <row r="5" spans="1:11" ht="20" customHeight="1">
      <c r="A5" s="2"/>
      <c r="B5" s="2"/>
      <c r="C5" s="2"/>
      <c r="D5" s="2"/>
      <c r="E5" s="3"/>
      <c r="F5" s="4" t="s">
        <v>24</v>
      </c>
      <c r="G5" s="3">
        <v>1</v>
      </c>
      <c r="H5" s="2" t="s">
        <v>25</v>
      </c>
      <c r="I5" s="3" t="s">
        <v>26</v>
      </c>
      <c r="J5" s="5" t="str">
        <f>HYPERLINK("https://www.google.com/maps/reviews/data=!4m8!14m7!1m6!2m5!1sCi9DQUlRQUNvZENodHljRjlvT20xNFRXWTNPVmRvV1hGWGNHY3lkMEZTWDFGdlEyYxAB!2m1!1s0x0:0xff2ee5d932096b66!3m1!1s2@1:CAIQACodChtycF9oOm14TWY3OVdoWXFXcGcyd0FSX1FvQ2c%7C%7C?hl=en", "View Link")</f>
        <v>View Link</v>
      </c>
      <c r="K5" s="5"/>
    </row>
    <row r="6" spans="1:11" ht="20" customHeight="1">
      <c r="A6" s="2"/>
      <c r="B6" s="2"/>
      <c r="C6" s="2"/>
      <c r="D6" s="2"/>
      <c r="E6" s="3"/>
      <c r="F6" s="4" t="s">
        <v>27</v>
      </c>
      <c r="G6" s="3">
        <v>1</v>
      </c>
      <c r="H6" s="2" t="s">
        <v>28</v>
      </c>
      <c r="I6" s="3" t="s">
        <v>29</v>
      </c>
      <c r="J6" s="5" t="str">
        <f>HYPERLINK("https://www.google.com/maps/reviews/data=!4m8!14m7!1m6!2m5!1sCi9DQUlRQUNvZENodHljRjlvT21GMWJUWmZRMmRXY1U0NFZIZHZURzlwVGtsVFkzYxAB!2m1!1s0x0:0xff2ee5d932096b66!3m1!1s2@1:CAIQACodChtycF9oOmF1bTZfQ2dWcU44VHdvTG9pTklTY3c%7C%7C?hl=en", "View Link")</f>
        <v>View Link</v>
      </c>
      <c r="K6" s="5"/>
    </row>
    <row r="7" spans="1:11" ht="20" customHeight="1">
      <c r="A7" s="2"/>
      <c r="B7" s="2"/>
      <c r="C7" s="2"/>
      <c r="D7" s="2"/>
      <c r="E7" s="3"/>
      <c r="F7" s="4" t="s">
        <v>30</v>
      </c>
      <c r="G7" s="3">
        <v>1</v>
      </c>
      <c r="H7" s="2" t="s">
        <v>31</v>
      </c>
      <c r="I7" s="3" t="s">
        <v>32</v>
      </c>
      <c r="J7" s="5" t="str">
        <f>HYPERLINK("https://www.google.com/maps/reviews/data=!4m8!14m7!1m6!2m5!1sCi9DQUlRQUNvZENodHljRjlvT25CRGJGOXlkVFJXTUc1U2NGUmxYMnBpWkRGWlpHYxAB!2m1!1s0x0:0xff2ee5d932096b66!3m1!1s2@1:CAIQACodChtycF9oOnBDbF9ydTRWMG5ScFRlX2piZDFZZGc%7C%7C?hl=en", "View Link")</f>
        <v>View Link</v>
      </c>
      <c r="K7" s="5"/>
    </row>
    <row r="8" spans="1:11" ht="20" customHeight="1">
      <c r="A8" s="2"/>
      <c r="B8" s="2"/>
      <c r="C8" s="2"/>
      <c r="D8" s="2"/>
      <c r="E8" s="3"/>
      <c r="F8" s="4" t="s">
        <v>33</v>
      </c>
      <c r="G8" s="3">
        <v>1</v>
      </c>
      <c r="H8" s="2" t="s">
        <v>34</v>
      </c>
      <c r="I8" s="3" t="s">
        <v>35</v>
      </c>
      <c r="J8" s="5" t="str">
        <f>HYPERLINK("https://www.google.com/maps/reviews/data=!4m8!14m7!1m6!2m5!1sCi9DQUlRQUNvZENodHljRjlvT2twYVJIUTBlamc0UWpVMFFUWlllbGx5Y0RkTWQwRRAB!2m1!1s0x0:0xff2ee5d932096b66!3m1!1s2@1:CAIQACodChtycF9oOkpaRHQ0ejg4QjU0QTZYellycDdMd0E%7C%7C?hl=en", "View Link")</f>
        <v>View Link</v>
      </c>
      <c r="K8" s="5"/>
    </row>
    <row r="9" spans="1:11" ht="20" customHeight="1">
      <c r="A9" s="2"/>
      <c r="B9" s="2"/>
      <c r="C9" s="2"/>
      <c r="D9" s="2"/>
      <c r="E9" s="3"/>
      <c r="F9" s="4" t="s">
        <v>36</v>
      </c>
      <c r="G9" s="3">
        <v>1</v>
      </c>
      <c r="H9" s="2" t="s">
        <v>37</v>
      </c>
      <c r="I9" s="3" t="s">
        <v>38</v>
      </c>
      <c r="J9" s="5" t="str">
        <f>HYPERLINK("https://www.google.com/maps/reviews/data=!4m8!14m7!1m6!2m5!1sCi9DQUlRQUNvZENodHljRjlvT21OR1VFSTFhR2hYVWtwNFRVVklPVEp4T0dKc1NGRRAB!2m1!1s0x0:0xff2ee5d932096b66!3m1!1s2@1:CAIQACodChtycF9oOmNGUEI1aGhXUkp4TUVIOTJxOGJsSFE%7C%7C?hl=en", "View Link")</f>
        <v>View Link</v>
      </c>
      <c r="K9" s="5"/>
    </row>
    <row r="10" spans="1:11" ht="20" customHeight="1">
      <c r="A10" s="2"/>
      <c r="B10" s="2"/>
      <c r="C10" s="2"/>
      <c r="D10" s="2"/>
      <c r="E10" s="3"/>
      <c r="F10" s="4" t="s">
        <v>39</v>
      </c>
      <c r="G10" s="3">
        <v>1</v>
      </c>
      <c r="H10" s="2" t="s">
        <v>40</v>
      </c>
      <c r="I10" s="3" t="s">
        <v>41</v>
      </c>
      <c r="J10" s="5" t="str">
        <f>HYPERLINK("https://www.google.com/maps/reviews/data=!4m8!14m7!1m6!2m5!1sCi9DQUlRQUNvZENodHljRjlvT21vMldGRmpiR1V6ZVVSa2RtTnhRMlZpVVhrdGJtYxAB!2m1!1s0x0:0xff2ee5d932096b66!3m1!1s2@1:CAIQACodChtycF9oOmo2WFFjbGUzeURkdmNxQ2ViUXktbmc%7C%7C?hl=en", "View Link")</f>
        <v>View Link</v>
      </c>
      <c r="K10" s="5"/>
    </row>
    <row r="11" spans="1:11" ht="20" customHeight="1">
      <c r="A11" s="2"/>
      <c r="B11" s="2"/>
      <c r="C11" s="2"/>
      <c r="D11" s="2"/>
      <c r="E11" s="3"/>
      <c r="F11" s="4" t="s">
        <v>42</v>
      </c>
      <c r="G11" s="3">
        <v>1</v>
      </c>
      <c r="H11" s="2" t="s">
        <v>43</v>
      </c>
      <c r="I11" s="3" t="s">
        <v>44</v>
      </c>
      <c r="J11" s="5" t="str">
        <f>HYPERLINK("https://www.google.com/maps/reviews/data=!4m8!14m7!1m6!2m5!1sCi9DQUlRQUNvZENodHljRjlvT2xkZk0xUlFMWHBRZVZSbFdHRTRTbkpzUkVWa1RIYxAB!2m1!1s0x0:0xff2ee5d932096b66!3m1!1s2@1:CAIQACodChtycF9oOldfM1RQLXpQeVRlWGE4SnJsREVkTHc%7C%7C?hl=en", "View Link")</f>
        <v>View Link</v>
      </c>
      <c r="K11" s="5"/>
    </row>
    <row r="12" spans="1:11" ht="20" customHeight="1">
      <c r="A12" s="2"/>
      <c r="B12" s="2"/>
      <c r="C12" s="2"/>
      <c r="D12" s="2"/>
      <c r="E12" s="3"/>
      <c r="F12" s="4" t="s">
        <v>47</v>
      </c>
      <c r="G12" s="3">
        <v>1</v>
      </c>
      <c r="H12" s="2" t="s">
        <v>48</v>
      </c>
      <c r="I12" s="3" t="s">
        <v>49</v>
      </c>
      <c r="J12" s="5" t="str">
        <f>HYPERLINK("https://www.google.com/maps/reviews/data=!4m8!14m7!1m6!2m5!1sCi9DQUlRQUNvZENodHljRjlvT2tGelEweDJaV05VWTJNMlkwcHlTR1JqTlhkVFdsRRAB!2m1!1s0x0:0xd4c94271922eb689!3m1!1s2@1:CAIQACodChtycF9oOkFzQ0x2ZWNUY2M2Y0pySGRjNXdTWlE%7C%7C?hl=en", "View Link")</f>
        <v>View Link</v>
      </c>
      <c r="K12" s="5"/>
    </row>
    <row r="13" spans="1:11" ht="20" customHeight="1">
      <c r="A13" s="2"/>
      <c r="B13" s="2"/>
      <c r="C13" s="2"/>
      <c r="D13" s="2"/>
      <c r="E13" s="3"/>
      <c r="F13" s="4" t="s">
        <v>50</v>
      </c>
      <c r="G13" s="3">
        <v>1</v>
      </c>
      <c r="H13" s="2" t="s">
        <v>51</v>
      </c>
      <c r="I13" s="3" t="s">
        <v>52</v>
      </c>
      <c r="J13" s="5" t="str">
        <f>HYPERLINK("https://www.google.com/maps/reviews/data=!4m8!14m7!1m6!2m5!1sCi9DQUlRQUNvZENodHljRjlvT25oMVptcGpUV0V6YzE5ek56TnRXVTQyU3pObFZHYxAB!2m1!1s0x0:0xd4c94271922eb689!3m1!1s2@1:CAIQACodChtycF9oOnh1ZmpjTWEzc19zNzNtWU42SzNlVGc%7C%7C?hl=en", "View Link")</f>
        <v>View Link</v>
      </c>
      <c r="K13" s="5"/>
    </row>
    <row r="14" spans="1:11" ht="20" customHeight="1">
      <c r="A14" s="2"/>
      <c r="B14" s="2"/>
      <c r="C14" s="2"/>
      <c r="D14" s="2"/>
      <c r="E14" s="3"/>
      <c r="F14" s="4" t="s">
        <v>53</v>
      </c>
      <c r="G14" s="3">
        <v>1</v>
      </c>
      <c r="H14" s="2" t="s">
        <v>54</v>
      </c>
      <c r="I14" s="3" t="s">
        <v>55</v>
      </c>
      <c r="J14" s="5" t="str">
        <f>HYPERLINK("https://www.google.com/maps/reviews/data=!4m8!14m7!1m6!2m5!1sCi9DQUlRQUNvZENodHljRjlvT2xKRFRXWkhTMDFEVFVkSlF6YzVOalU1YVU0eFVGRRAB!2m1!1s0x0:0xd4c94271922eb689!3m1!1s2@1:CAIQACodChtycF9oOlJDTWZHS01DTUdJQzc5NjU5aU4xUFE%7C%7C?hl=en", "View Link")</f>
        <v>View Link</v>
      </c>
      <c r="K14" s="5"/>
    </row>
    <row r="15" spans="1:11" ht="20" customHeight="1">
      <c r="A15" s="2"/>
      <c r="B15" s="2"/>
      <c r="C15" s="2"/>
      <c r="D15" s="2"/>
      <c r="E15" s="3"/>
      <c r="F15" s="4" t="s">
        <v>56</v>
      </c>
      <c r="G15" s="3">
        <v>1</v>
      </c>
      <c r="H15" s="2" t="s">
        <v>57</v>
      </c>
      <c r="I15" s="3" t="s">
        <v>58</v>
      </c>
      <c r="J15" s="5" t="str">
        <f>HYPERLINK("https://www.google.com/maps/reviews/data=!4m8!14m7!1m6!2m5!1sCi9DQUlRQUNvZENodHljRjlvT25kR05rMVJjMGczVVdSWFdGVjZaV3BUYldoSk9FRRAB!2m1!1s0x0:0xd4c94271922eb689!3m1!1s2@1:CAIQACodChtycF9oOndGNk1Rc0g3UWRXWFV6ZWpTbWhJOEE%7C%7C?hl=en", "View Link")</f>
        <v>View Link</v>
      </c>
      <c r="K15" s="5"/>
    </row>
    <row r="16" spans="1:11" ht="20" customHeight="1">
      <c r="A16" s="2"/>
      <c r="B16" s="2"/>
      <c r="C16" s="2"/>
      <c r="D16" s="2"/>
      <c r="E16" s="3"/>
      <c r="F16" s="4" t="s">
        <v>59</v>
      </c>
      <c r="G16" s="3">
        <v>1</v>
      </c>
      <c r="H16" s="2" t="s">
        <v>60</v>
      </c>
      <c r="I16" s="3" t="s">
        <v>61</v>
      </c>
      <c r="J16" s="5" t="str">
        <f>HYPERLINK("https://www.google.com/maps/reviews/data=!4m8!14m7!1m6!2m5!1sCi9DQUlRQUNvZENodHljRjlvT2paWmNVbDNSemM0WjFGNFVtbEVjbHBZYldkeGIwRRAB!2m1!1s0x0:0xd4c94271922eb689!3m1!1s2@1:CAIQACodChtycF9oOjZZcUl3Rzc4Z1F4UmlEclpYbWdxb0E%7C%7C?hl=en", "View Link")</f>
        <v>View Link</v>
      </c>
      <c r="K16" s="5"/>
    </row>
    <row r="17" spans="1:11" ht="20" customHeight="1">
      <c r="A17" s="2"/>
      <c r="B17" s="2"/>
      <c r="C17" s="2"/>
      <c r="D17" s="2"/>
      <c r="E17" s="3"/>
      <c r="F17" s="4" t="s">
        <v>62</v>
      </c>
      <c r="G17" s="3">
        <v>1</v>
      </c>
      <c r="H17" s="2" t="s">
        <v>63</v>
      </c>
      <c r="I17" s="3" t="s">
        <v>64</v>
      </c>
      <c r="J17" s="5" t="str">
        <f>HYPERLINK("https://www.google.com/maps/reviews/data=!4m8!14m7!1m6!2m5!1sCi9DQUlRQUNvZENodHljRjlvT21SS1QwOVhaRUZNVW01RlRYcG5jbXBqVFVSV1ozYxAB!2m1!1s0x0:0xd4c94271922eb689!3m1!1s2@1:CAIQACodChtycF9oOmRKT09XZEFMUm5FTXpncmpjTURWZ3c%7C%7C?hl=en", "View Link")</f>
        <v>View Link</v>
      </c>
      <c r="K17" s="5"/>
    </row>
    <row r="18" spans="1:11" ht="20" customHeight="1">
      <c r="A18" s="2"/>
      <c r="B18" s="2"/>
      <c r="C18" s="2"/>
      <c r="D18" s="2"/>
      <c r="E18" s="3"/>
      <c r="F18" s="4" t="s">
        <v>65</v>
      </c>
      <c r="G18" s="3">
        <v>1</v>
      </c>
      <c r="H18" s="2" t="s">
        <v>66</v>
      </c>
      <c r="I18" s="3" t="s">
        <v>67</v>
      </c>
      <c r="J18" s="5" t="str">
        <f>HYPERLINK("https://www.google.com/maps/reviews/data=!4m8!14m7!1m6!2m5!1sCi9DQUlRQUNvZENodHljRjlvT2tKaWNuSnNSR3BNUkRWNlFXaG9jbU5yVkVzMVUyYxAB!2m1!1s0x0:0xd4c94271922eb689!3m1!1s2@1:CAIQACodChtycF9oOkJicnJsRGpMRDV6QWhocmNrVEs1U2c%7C%7C?hl=en", "View Link")</f>
        <v>View Link</v>
      </c>
      <c r="K18" s="5"/>
    </row>
    <row r="19" spans="1:11" ht="20" customHeight="1">
      <c r="A19" s="2"/>
      <c r="B19" s="2"/>
      <c r="C19" s="2"/>
      <c r="D19" s="2"/>
      <c r="E19" s="3"/>
      <c r="F19" s="4" t="s">
        <v>68</v>
      </c>
      <c r="G19" s="3">
        <v>1</v>
      </c>
      <c r="H19" s="2" t="s">
        <v>69</v>
      </c>
      <c r="I19" s="3" t="s">
        <v>70</v>
      </c>
      <c r="J19" s="5" t="str">
        <f>HYPERLINK("https://www.google.com/maps/reviews/data=!4m8!14m7!1m6!2m5!1sCi9DQUlRQUNvZENodHljRjlvT25oeVRHbFhielZ5T1dOU1ozVjRXa1YxUmpWeFUwRRAB!2m1!1s0x0:0xd4c94271922eb689!3m1!1s2@1:CAIQACodChtycF9oOnhyTGlXbzVyOWNSZ3V4WkV1RjVxU0E%7C%7C?hl=en", "View Link")</f>
        <v>View Link</v>
      </c>
      <c r="K19" s="5"/>
    </row>
    <row r="20" spans="1:11" ht="20" customHeight="1">
      <c r="A20" s="2"/>
      <c r="B20" s="2"/>
      <c r="C20" s="2"/>
      <c r="D20" s="2"/>
      <c r="E20" s="3"/>
      <c r="F20" s="4" t="s">
        <v>71</v>
      </c>
      <c r="G20" s="3">
        <v>1</v>
      </c>
      <c r="H20" s="2" t="s">
        <v>72</v>
      </c>
      <c r="I20" s="3" t="s">
        <v>73</v>
      </c>
      <c r="J20" s="5" t="str">
        <f>HYPERLINK("https://www.google.com/maps/reviews/data=!4m8!14m7!1m6!2m5!1sCi9DQUlRQUNvZENodHljRjlvT205cVJGUnBWM2x3ZDBkc1ZGWlRZVlpwUkZsR1RVRRAB!2m1!1s0x0:0xd4c94271922eb689!3m1!1s2@1:CAIQACodChtycF9oOm9qRFRpV3lwd0dsVFZTYVZpRFlGTUE%7C%7C?hl=en", "View Link")</f>
        <v>View Link</v>
      </c>
      <c r="K20" s="5"/>
    </row>
    <row r="21" spans="1:11" ht="20" customHeight="1">
      <c r="A21" s="2"/>
      <c r="B21" s="2"/>
      <c r="C21" s="2"/>
      <c r="D21" s="2"/>
      <c r="E21" s="3"/>
      <c r="F21" s="4" t="s">
        <v>74</v>
      </c>
      <c r="G21" s="3">
        <v>1</v>
      </c>
      <c r="H21" s="2" t="s">
        <v>75</v>
      </c>
      <c r="I21" s="3" t="s">
        <v>76</v>
      </c>
      <c r="J21" s="5" t="str">
        <f>HYPERLINK("https://www.google.com/maps/reviews/data=!4m8!14m7!1m6!2m5!1sCi9DQUlRQUNvZENodHljRjlvT2pWNlZURlRVVmxTVVRCT0xXVkhZVFZOTWtoakxWRRAB!2m1!1s0x0:0xd4c94271922eb689!3m1!1s2@1:CAIQACodChtycF9oOjV6VTFTUVlSUTBOLWVHYTVNMkhjLVE%7C%7C?hl=en", "View Link")</f>
        <v>View Link</v>
      </c>
      <c r="K21" s="5"/>
    </row>
    <row r="22" spans="1:11" ht="20" customHeight="1">
      <c r="A22" s="2" t="s">
        <v>77</v>
      </c>
      <c r="B22" s="2" t="s">
        <v>78</v>
      </c>
      <c r="C22" s="2" t="s">
        <v>79</v>
      </c>
      <c r="D22" s="2" t="s">
        <v>80</v>
      </c>
      <c r="E22" s="3">
        <v>4.4</v>
      </c>
      <c r="F22" s="4" t="s">
        <v>81</v>
      </c>
      <c r="G22" s="3">
        <v>1</v>
      </c>
      <c r="H22" s="2" t="s">
        <v>82</v>
      </c>
      <c r="I22" s="3" t="s">
        <v>83</v>
      </c>
      <c r="J22" s="5" t="str">
        <f>HYPERLINK("https://www.google.com/maps/reviews/data=!4m8!14m7!1m6!2m5!1sCi9DQUlRQUNvZENodHljRjlvT2pGSGFUSTVWVzR0VjNOVk0zVjRXRWxsWkVSNkxVRRAB!2m1!1s0x0:0x86092e6a6bc7dcd7!3m1!1s2@1:CAIQACodChtycF9oOjFHaTI5VW4tV3NVM3V4WEllZER6LUE%7C%7C?hl=en", "View Link")</f>
        <v>View Link</v>
      </c>
      <c r="K22" s="5">
        <f>HYPERLINK("https://www.google.com/maps/search/?api=1&amp;query=The%20Garden&amp;query_place_id=ChIJ0yn9AYqiQAwR19zHa2ouCYY", "Open Map")</f>
        <v>0</v>
      </c>
    </row>
    <row r="23" spans="1:11" ht="20" customHeight="1">
      <c r="A23" s="2"/>
      <c r="B23" s="2"/>
      <c r="C23" s="2"/>
      <c r="D23" s="2"/>
      <c r="E23" s="3"/>
      <c r="F23" s="4" t="s">
        <v>84</v>
      </c>
      <c r="G23" s="3">
        <v>1</v>
      </c>
      <c r="H23" s="2" t="s">
        <v>85</v>
      </c>
      <c r="I23" s="3" t="s">
        <v>86</v>
      </c>
      <c r="J23" s="5" t="str">
        <f>HYPERLINK("https://www.google.com/maps/reviews/data=!4m8!14m7!1m6!2m5!1sCi9DQUlRQUNvZENodHljRjlvT2kxbGJWbFFOSGhWWWpSVlJXOXRhWFpCZDFkdFQyYxAB!2m1!1s0x0:0x86092e6a6bc7dcd7!3m1!1s2@1:CAIQACodChtycF9oOi1lbVlQNHhVYjRVRW9taXZBd1dtT2c%7C%7C?hl=en", "View Link")</f>
        <v>View Link</v>
      </c>
      <c r="K23" s="5"/>
    </row>
    <row r="24" spans="1:11" ht="20" customHeight="1">
      <c r="A24" s="2"/>
      <c r="B24" s="2"/>
      <c r="C24" s="2"/>
      <c r="D24" s="2"/>
      <c r="E24" s="3"/>
      <c r="F24" s="4" t="s">
        <v>87</v>
      </c>
      <c r="G24" s="3">
        <v>1</v>
      </c>
      <c r="H24" s="2" t="s">
        <v>88</v>
      </c>
      <c r="I24" s="3" t="s">
        <v>89</v>
      </c>
      <c r="J24" s="5" t="str">
        <f>HYPERLINK("https://www.google.com/maps/reviews/data=!4m8!14m7!1m6!2m5!1sCi9DQUlRQUNvZENodHljRjlvT2xCaVNFbHpMVkZmV1c1dFZXRnVWRTQ1UjNWM1pVRRAB!2m1!1s0x0:0x86092e6a6bc7dcd7!3m1!1s2@1:CAIQACodChtycF9oOlBiSElzLVFfWW5tVWFuVE45R3V3ZUE%7C%7C?hl=en", "View Link")</f>
        <v>View Link</v>
      </c>
      <c r="K24" s="5"/>
    </row>
    <row r="25" spans="1:11" ht="20" customHeight="1">
      <c r="A25" s="2"/>
      <c r="B25" s="2"/>
      <c r="C25" s="2"/>
      <c r="D25" s="2"/>
      <c r="E25" s="3"/>
      <c r="F25" s="4" t="s">
        <v>90</v>
      </c>
      <c r="G25" s="3">
        <v>1</v>
      </c>
      <c r="H25" s="2" t="s">
        <v>91</v>
      </c>
      <c r="I25" s="3" t="s">
        <v>92</v>
      </c>
      <c r="J25" s="5" t="str">
        <f>HYPERLINK("https://www.google.com/maps/reviews/data=!4m8!14m7!1m6!2m5!1sCi9DQUlRQUNvZENodHljRjlvT201R1RTMWZja0pNYTI0dFExUktiMEY0V0MxS1FrRRAB!2m1!1s0x0:0x86092e6a6bc7dcd7!3m1!1s2@1:CAIQACodChtycF9oOm5GTS1fckJMa24tQ1RKb0F4WC1KQkE%7C%7C?hl=en", "View Link")</f>
        <v>View Link</v>
      </c>
      <c r="K25" s="5"/>
    </row>
    <row r="26" spans="1:11" ht="20" customHeight="1">
      <c r="A26" s="2"/>
      <c r="B26" s="2"/>
      <c r="C26" s="2"/>
      <c r="D26" s="2"/>
      <c r="E26" s="3"/>
      <c r="F26" s="4" t="s">
        <v>93</v>
      </c>
      <c r="G26" s="3">
        <v>1</v>
      </c>
      <c r="H26" s="2" t="s">
        <v>94</v>
      </c>
      <c r="I26" s="3" t="s">
        <v>95</v>
      </c>
      <c r="J26" s="5" t="str">
        <f>HYPERLINK("https://www.google.com/maps/reviews/data=!4m8!14m7!1m6!2m5!1sChZDSUhNMG9nS0VJQ0FnSUNsam9tekFnEAE!2m1!1s0x0:0x86092e6a6bc7dcd7!3m1!1s2@1:CIHM0ogKEICAgICljomzAg%7C%7C?hl=en", "View Link")</f>
        <v>View Link</v>
      </c>
      <c r="K26" s="5"/>
    </row>
    <row r="27" spans="1:11" ht="20" customHeight="1">
      <c r="A27" s="2"/>
      <c r="B27" s="2"/>
      <c r="C27" s="2"/>
      <c r="D27" s="2"/>
      <c r="E27" s="3"/>
      <c r="F27" s="4" t="s">
        <v>96</v>
      </c>
      <c r="G27" s="3">
        <v>1</v>
      </c>
      <c r="H27" s="2" t="s">
        <v>97</v>
      </c>
      <c r="I27" s="3" t="s">
        <v>98</v>
      </c>
      <c r="J27" s="5" t="str">
        <f>HYPERLINK("https://www.google.com/maps/reviews/data=!4m8!14m7!1m6!2m5!1sCi9DQUlRQUNvZENodHljRjlvT2tGM2JUWmhaSFF0WVhwUVoxb3RiMlZPTVcxMk9YYxAB!2m1!1s0x0:0x86092e6a6bc7dcd7!3m1!1s2@1:CAIQACodChtycF9oOkF3bTZhZHQtYXpQZ1otb2VOMW12OXc%7C%7C?hl=en", "View Link")</f>
        <v>View Link</v>
      </c>
      <c r="K27" s="5"/>
    </row>
    <row r="28" spans="1:11" ht="20" customHeight="1">
      <c r="A28" s="2"/>
      <c r="B28" s="2"/>
      <c r="C28" s="2"/>
      <c r="D28" s="2"/>
      <c r="E28" s="3"/>
      <c r="F28" s="4" t="s">
        <v>99</v>
      </c>
      <c r="G28" s="3">
        <v>1</v>
      </c>
      <c r="H28" s="2" t="s">
        <v>100</v>
      </c>
      <c r="I28" s="3" t="s">
        <v>101</v>
      </c>
      <c r="J28" s="5" t="str">
        <f>HYPERLINK("https://www.google.com/maps/reviews/data=!4m8!14m7!1m6!2m5!1sChZDSUhNMG9nS0VJQ0FnSUNaOHBycFF3EAE!2m1!1s0x0:0x86092e6a6bc7dcd7!3m1!1s2@1:CIHM0ogKEICAgICZ8prpQw%7C%7C?hl=en", "View Link")</f>
        <v>View Link</v>
      </c>
      <c r="K28" s="5"/>
    </row>
    <row r="29" spans="1:11" ht="20" customHeight="1">
      <c r="A29" s="2"/>
      <c r="B29" s="2"/>
      <c r="C29" s="2"/>
      <c r="D29" s="2"/>
      <c r="E29" s="3"/>
      <c r="F29" s="4" t="s">
        <v>102</v>
      </c>
      <c r="G29" s="3">
        <v>1</v>
      </c>
      <c r="H29" s="2" t="s">
        <v>103</v>
      </c>
      <c r="I29" s="3" t="s">
        <v>104</v>
      </c>
      <c r="J29" s="5" t="str">
        <f>HYPERLINK("https://www.google.com/maps/reviews/data=!4m8!14m7!1m6!2m5!1sChdDSUhNMG9nS0VJQ0FnSUNoNjV5SzhRRRAB!2m1!1s0x0:0x86092e6a6bc7dcd7!3m1!1s2@1:CIHM0ogKEICAgICh65yK8QE%7C%7C?hl=en", "View Link")</f>
        <v>View Link</v>
      </c>
      <c r="K29" s="5"/>
    </row>
    <row r="30" spans="1:11" ht="20" customHeight="1">
      <c r="A30" s="2"/>
      <c r="B30" s="2"/>
      <c r="C30" s="2"/>
      <c r="D30" s="2"/>
      <c r="E30" s="3"/>
      <c r="F30" s="4" t="s">
        <v>105</v>
      </c>
      <c r="G30" s="3">
        <v>1</v>
      </c>
      <c r="H30" s="2" t="s">
        <v>106</v>
      </c>
      <c r="I30" s="3" t="s">
        <v>107</v>
      </c>
      <c r="J30" s="5" t="str">
        <f>HYPERLINK("https://www.google.com/maps/reviews/data=!4m8!14m7!1m6!2m5!1sCi9DQUlRQUNvZENodHljRjlvT2xZM2J6UkVhV2hsVjJwVWFsZDZaa2R0VVZoMVpuYxAB!2m1!1s0x0:0x86092e6a6bc7dcd7!3m1!1s2@1:CAIQACodChtycF9oOlY3bzREaWhlV2pUald6ZkdtUVh1Znc%7C%7C?hl=en", "View Link")</f>
        <v>View Link</v>
      </c>
      <c r="K30" s="5"/>
    </row>
    <row r="31" spans="1:11" ht="20" customHeight="1">
      <c r="A31" s="2"/>
      <c r="B31" s="2"/>
      <c r="C31" s="2"/>
      <c r="D31" s="2"/>
      <c r="E31" s="3"/>
      <c r="F31" s="4" t="s">
        <v>108</v>
      </c>
      <c r="G31" s="3">
        <v>1</v>
      </c>
      <c r="H31" s="2" t="s">
        <v>109</v>
      </c>
      <c r="I31" s="3" t="s">
        <v>110</v>
      </c>
      <c r="J31" s="5" t="str">
        <f>HYPERLINK("https://www.google.com/maps/reviews/data=!4m8!14m7!1m6!2m5!1sChZDSUhNMG9nS0VPN2c4LUNBbVo2eERnEAE!2m1!1s0x0:0x86092e6a6bc7dcd7!3m1!1s2@1:CIHM0ogKEO7g8-CAmZ6xDg%7C%7C?hl=en", "View Link")</f>
        <v>View Link</v>
      </c>
      <c r="K31" s="5"/>
    </row>
  </sheetData>
  <mergeCells count="12">
    <mergeCell ref="A2:A21"/>
    <mergeCell ref="B2:B21"/>
    <mergeCell ref="C2:C21"/>
    <mergeCell ref="D2:D21"/>
    <mergeCell ref="E2:E21"/>
    <mergeCell ref="K2:K21"/>
    <mergeCell ref="A22:A31"/>
    <mergeCell ref="B22:B31"/>
    <mergeCell ref="C22:C31"/>
    <mergeCell ref="D22:D31"/>
    <mergeCell ref="E22:E31"/>
    <mergeCell ref="K22:K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2026-08-10T05:56:11Z</dcterms:created>
  <dcterms:modified xsi:type="dcterms:W3CDTF">2026-08-10T05:56:11Z</dcterms:modified>
</cp:coreProperties>
</file>