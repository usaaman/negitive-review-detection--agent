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 Reviews" sheetId="1" r:id="rId1"/>
  </sheets>
  <calcPr calcId="124519" fullCalcOnLoad="1"/>
</workbook>
</file>

<file path=xl/sharedStrings.xml><?xml version="1.0" encoding="utf-8"?>
<sst xmlns="http://schemas.openxmlformats.org/spreadsheetml/2006/main" count="92" uniqueCount="59">
  <si>
    <t>Business Name</t>
  </si>
  <si>
    <t>Address</t>
  </si>
  <si>
    <t>Phone</t>
  </si>
  <si>
    <t>Email</t>
  </si>
  <si>
    <t>Business Rating</t>
  </si>
  <si>
    <t>Reviewer Name</t>
  </si>
  <si>
    <t>Review Stars</t>
  </si>
  <si>
    <t>Review Text</t>
  </si>
  <si>
    <t>Review Date</t>
  </si>
  <si>
    <t>Review Link</t>
  </si>
  <si>
    <t>Business Maps Link</t>
  </si>
  <si>
    <t>Clinica Dental Disseny Dental</t>
  </si>
  <si>
    <t>Carrer del Claustre, 11, Baixos, 17520 Puigcerdà, Girona, Spain</t>
  </si>
  <si>
    <t>+34 872 29 00 23</t>
  </si>
  <si>
    <t>info@dissenydental.cat</t>
  </si>
  <si>
    <t>Ernest Bernabeu Venturini</t>
  </si>
  <si>
    <t>En general el tracte és agradable. No obstant, arriben a trigar mes de 10 minuts en agafar el telèfon, les cites que donen són a 3 setmanes vista i en el meu cas no em van posar facilitats per citar-me. Finalment, he hagut d’anar a una altra clínica</t>
  </si>
  <si>
    <t>2022-07-26T18:45:14.475Z</t>
  </si>
  <si>
    <t>Anna</t>
  </si>
  <si>
    <t>Trato bien ,tardan mucho en darte cita , después de años de ir ahí ,pedí cita y me daban para 15 días ,o bien ir de urgencia y cobrar el doble  ,la verdad decepcionada,no me pusieron nada facil el pedir cita ,decidí ir a otra clínica y genial el trato ,el Dr sabe lo que hace y más barato</t>
  </si>
  <si>
    <t>2023-04-10T08:32:57.972Z</t>
  </si>
  <si>
    <t>Esther Torcal</t>
  </si>
  <si>
    <t>A primera vista todo muy bien, luego tu boca pasa de mano en mano y le mandan fotos al dentista por whatssap. Yo tube muy mala experiencia con ellos, por suerte, no todas las clínicas son iguales.</t>
  </si>
  <si>
    <t>2024-07-25T00:01:03.532Z</t>
  </si>
  <si>
    <t>Aroa Rb</t>
  </si>
  <si>
    <t>He tingut una urgència i no m’han atès quan ni tan sols han mirat l’agenda. Tracte molt desagradable. Zero recomanable.</t>
  </si>
  <si>
    <t>2023-07-19T08:53:04.448Z</t>
  </si>
  <si>
    <t>Lala</t>
  </si>
  <si>
    <t>Que pena.. pagando seguro de Sanitas y no hay atención para una urgencia!!! Dentro de un mes, si acaso.. y mientras te aguantas!!</t>
  </si>
  <si>
    <t>2024-06-11T16:39:20.962Z</t>
  </si>
  <si>
    <t>Patricia Rodriguez</t>
  </si>
  <si>
    <t>No agafen el telf quasi mai. 😫 ja no se a quina hora trucar q sigui bona.</t>
  </si>
  <si>
    <t>2022-11-22T08:09:43.414Z</t>
  </si>
  <si>
    <t>olga</t>
  </si>
  <si>
    <t>Experiència totalment negativa.
Cap interès a fer les coses ben fetes.
NO HO RECOMANO A NINGÚ.</t>
  </si>
  <si>
    <t>2019-11-20T15:37:40.174Z</t>
  </si>
  <si>
    <t>Alessio “Ale23x” Sarina</t>
  </si>
  <si>
    <t>Para mi, que no hagan un esfuerzo para encajar urgencias en la agenda es malo. Otros de la zona lo hacen aunque estén a tope igual.</t>
  </si>
  <si>
    <t>2023-09-01T13:19:44.443Z</t>
  </si>
  <si>
    <t>Clínica DENTOS</t>
  </si>
  <si>
    <t>Carrer Cadí, 1, 17520 Puigcerdà, Girona, Spain</t>
  </si>
  <si>
    <t>+34 972 88 02 66</t>
  </si>
  <si>
    <t>info@dentos.cat</t>
  </si>
  <si>
    <t>Alberto</t>
  </si>
  <si>
    <t>No lo recomiendo, me propusieron quitar un diente y un implante por interés económico, sin pensar en mí salud bucal. Pedí segunda opinión y había tratamiento exitoso menos invasivo y sin quitar el diente. No me explicaron nada. A mis preguntas respondían que solo existía una posibilidad médica , extracción e implante. Casi me quito el diente y al final gracias a una verdadera profesional lo salvé con un procedimiento menos invasivo y todo infinitamente más económico. Además me recetaron mal los antibióticos. Me recetaron un genérico cuando existe uno mejor y más específico. Cero empatía, puro mercantilismo. Las reseñas probablemente sean amigos y familiares. No os fieis si no os conocen.
Ara mateix vostè confirma que hi ha un procediment B. A la cara no m'ho ha dit i ha afirmat que no existia procediment B. He hagut de demanar segona opinió . Tampoc m'ha informat de la gratuïtat en la extracció a la seguretat social, i ho ha dit a la seva companya en veu baixeta , amb mi davant. També confirma que el procediment B fracassarà. Em pot dir quan fracassarà? Em pot dir perquè té preferència l'extracció sobre el procediment B? Amb criteris clínics , gràcies.</t>
  </si>
  <si>
    <t>2025-08-07T15:18:44.371Z</t>
  </si>
  <si>
    <t>DENTALP - Dr. Josep Oriol Martínez Durán</t>
  </si>
  <si>
    <t>Carrer Nord, 10, 17538 Alp, Girona, Spain</t>
  </si>
  <si>
    <t>+34 972 89 08 63</t>
  </si>
  <si>
    <t>N/A</t>
  </si>
  <si>
    <t>Miquel Dinarès Coma</t>
  </si>
  <si>
    <t>ès il-lusori pensar que un dentista no detecti un tipus de infecciò molt comú en odontología i segueixi posant  implants tot i que aquests vagin caien, implants  sobre infección no es aixó no, Oriol no ès això</t>
  </si>
  <si>
    <t>2018-10-03T16:30:11.301Z</t>
  </si>
  <si>
    <t>Clínica Dental Dr. J. Mestres</t>
  </si>
  <si>
    <t>Plaça Cabrinetty, 12, 17520 Puigcerdà, Girona, Spain</t>
  </si>
  <si>
    <t>+34 972 88 21 40</t>
  </si>
  <si>
    <t>Mario Parodi Flaquer</t>
  </si>
  <si>
    <t>Una vergüenza, siempre ponen escusas irreales para cancelarte la visita a última hora. Fui con dolor en una muela y transcurrido 1 mes y medio desde la primera visita, no habían resuelto nada, entre la poca profesionalidad del doctor y la cancelación de hasta 2 visitas a última hora! Fui a otra clínica y a la primera visita, resuelto! Un engaño.</t>
  </si>
  <si>
    <t>2022-04-05T10:48:18.404Z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</si>
</sst>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43.7109375" customWidth="1"/>
    <col min="2" max="2" width="66.7109375" customWidth="1"/>
    <col min="3" max="3" width="19.7109375" customWidth="1"/>
    <col min="4" max="4" width="25.7109375" customWidth="1"/>
    <col min="5" max="5" width="18.7109375" customWidth="1"/>
    <col min="6" max="6" width="28.7109375" customWidth="1"/>
    <col min="7" max="7" width="15.7109375" customWidth="1"/>
    <col min="8" max="8" width="1174.7109375" customWidth="1"/>
    <col min="9" max="9" width="27.7109375" customWidth="1"/>
    <col min="10" max="10" width="14.7109375" customWidth="1"/>
    <col min="11" max="11" width="21.7109375" customWidth="1"/>
  </cols>
  <sheetData>
    <row r="1" spans="1:1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" customHeight="1">
      <c r="A2" s="2" t="s">
        <v>11</v>
      </c>
      <c r="B2" s="2" t="s">
        <v>12</v>
      </c>
      <c r="C2" s="2" t="s">
        <v>13</v>
      </c>
      <c r="D2" s="2" t="s">
        <v>14</v>
      </c>
      <c r="E2" s="3">
        <v>4.4</v>
      </c>
      <c r="F2" s="4" t="s">
        <v>15</v>
      </c>
      <c r="G2" s="3">
        <v>1</v>
      </c>
      <c r="H2" s="2" t="s">
        <v>16</v>
      </c>
      <c r="I2" s="3" t="s">
        <v>17</v>
      </c>
      <c r="J2" s="5" t="str">
        <f>HYPERLINK("https://www.google.com/maps/reviews/data=!4m8!14m7!1m6!2m5!1sChdDSUhNMG9nS0VJQ0FnSUN1LXRYUzFBRRAB!2m1!1s0x0:0x1d661e44afdcf13c!3m1!1s2@1:CIHM0ogKEICAgICu-tXS1AE%7C%7C?hl=en", "View Link")</f>
        <v>View Link</v>
      </c>
      <c r="K2" s="5">
        <f>HYPERLINK("https://www.google.com/maps/search/?api=1&amp;query=Clinica%20Dental%20Disseny%20Dental&amp;query_place_id=ChIJy8tMvsB7pRIRPPHcr0QeZh0", "Open Map")</f>
        <v>0</v>
      </c>
    </row>
    <row r="3" spans="1:11" ht="20" customHeight="1">
      <c r="A3" s="2"/>
      <c r="B3" s="2"/>
      <c r="C3" s="2"/>
      <c r="D3" s="2"/>
      <c r="E3" s="3"/>
      <c r="F3" s="4" t="s">
        <v>18</v>
      </c>
      <c r="G3" s="3">
        <v>1</v>
      </c>
      <c r="H3" s="2" t="s">
        <v>19</v>
      </c>
      <c r="I3" s="3" t="s">
        <v>20</v>
      </c>
      <c r="J3" s="5" t="str">
        <f>HYPERLINK("https://www.google.com/maps/reviews/data=!4m8!14m7!1m6!2m5!1sChZDSUhNMG9nS0VJQ0FnSUNSczhyRUtnEAE!2m1!1s0x0:0x1d661e44afdcf13c!3m1!1s2@1:CIHM0ogKEICAgICRs8rEKg%7C%7C?hl=en", "View Link")</f>
        <v>View Link</v>
      </c>
      <c r="K3" s="5"/>
    </row>
    <row r="4" spans="1:11" ht="20" customHeight="1">
      <c r="A4" s="2"/>
      <c r="B4" s="2"/>
      <c r="C4" s="2"/>
      <c r="D4" s="2"/>
      <c r="E4" s="3"/>
      <c r="F4" s="4" t="s">
        <v>21</v>
      </c>
      <c r="G4" s="3">
        <v>1</v>
      </c>
      <c r="H4" s="2" t="s">
        <v>22</v>
      </c>
      <c r="I4" s="3" t="s">
        <v>23</v>
      </c>
      <c r="J4" s="5" t="str">
        <f>HYPERLINK("https://www.google.com/maps/reviews/data=!4m8!14m7!1m6!2m5!1sChdDSUhNMG9nS0VJQ0FnSUNid3NHWGh3RRAB!2m1!1s0x0:0x1d661e44afdcf13c!3m1!1s2@1:CIHM0ogKEICAgICbwsGXhwE%7C%7C?hl=en", "View Link")</f>
        <v>View Link</v>
      </c>
      <c r="K4" s="5"/>
    </row>
    <row r="5" spans="1:11" ht="20" customHeight="1">
      <c r="A5" s="2"/>
      <c r="B5" s="2"/>
      <c r="C5" s="2"/>
      <c r="D5" s="2"/>
      <c r="E5" s="3"/>
      <c r="F5" s="4" t="s">
        <v>24</v>
      </c>
      <c r="G5" s="3">
        <v>1</v>
      </c>
      <c r="H5" s="2" t="s">
        <v>25</v>
      </c>
      <c r="I5" s="3" t="s">
        <v>26</v>
      </c>
      <c r="J5" s="5" t="str">
        <f>HYPERLINK("https://www.google.com/maps/reviews/data=!4m8!14m7!1m6!2m5!1sChZDSUhNMG9nS0VJQ0FnSURKOGEtRFZ3EAE!2m1!1s0x0:0x1d661e44afdcf13c!3m1!1s2@1:CIHM0ogKEICAgIDJ8a-DVw%7C%7C?hl=en", "View Link")</f>
        <v>View Link</v>
      </c>
      <c r="K5" s="5"/>
    </row>
    <row r="6" spans="1:11" ht="20" customHeight="1">
      <c r="A6" s="2"/>
      <c r="B6" s="2"/>
      <c r="C6" s="2"/>
      <c r="D6" s="2"/>
      <c r="E6" s="3"/>
      <c r="F6" s="4" t="s">
        <v>27</v>
      </c>
      <c r="G6" s="3">
        <v>1</v>
      </c>
      <c r="H6" s="2" t="s">
        <v>28</v>
      </c>
      <c r="I6" s="3" t="s">
        <v>29</v>
      </c>
      <c r="J6" s="5" t="str">
        <f>HYPERLINK("https://www.google.com/maps/reviews/data=!4m8!14m7!1m6!2m5!1sChdDSUhNMG9nS0VJQ0FnSUR6N2V1T3RRRRAB!2m1!1s0x0:0x1d661e44afdcf13c!3m1!1s2@1:CIHM0ogKEICAgIDz7euOtQE%7C%7C?hl=en", "View Link")</f>
        <v>View Link</v>
      </c>
      <c r="K6" s="5"/>
    </row>
    <row r="7" spans="1:11" ht="20" customHeight="1">
      <c r="A7" s="2"/>
      <c r="B7" s="2"/>
      <c r="C7" s="2"/>
      <c r="D7" s="2"/>
      <c r="E7" s="3"/>
      <c r="F7" s="4" t="s">
        <v>30</v>
      </c>
      <c r="G7" s="3">
        <v>1</v>
      </c>
      <c r="H7" s="2" t="s">
        <v>31</v>
      </c>
      <c r="I7" s="3" t="s">
        <v>32</v>
      </c>
      <c r="J7" s="5" t="str">
        <f>HYPERLINK("https://www.google.com/maps/reviews/data=!4m8!14m7!1m6!2m5!1sChdDSUhNMG9nS0VJQ0FnSUQtbE4tVmdBRRAB!2m1!1s0x0:0x1d661e44afdcf13c!3m1!1s2@1:CIHM0ogKEICAgID-lN-VgAE%7C%7C?hl=en", "View Link")</f>
        <v>View Link</v>
      </c>
      <c r="K7" s="5"/>
    </row>
    <row r="8" spans="1:11" ht="20" customHeight="1">
      <c r="A8" s="2"/>
      <c r="B8" s="2"/>
      <c r="C8" s="2"/>
      <c r="D8" s="2"/>
      <c r="E8" s="3"/>
      <c r="F8" s="4" t="s">
        <v>33</v>
      </c>
      <c r="G8" s="3">
        <v>1</v>
      </c>
      <c r="H8" s="2" t="s">
        <v>34</v>
      </c>
      <c r="I8" s="3" t="s">
        <v>35</v>
      </c>
      <c r="J8" s="5" t="str">
        <f>HYPERLINK("https://www.google.com/maps/reviews/data=!4m8!14m7!1m6!2m5!1sChdDSUhNMG9nS0VJQ0FnSUNvMnJIV3ZBRRAB!2m1!1s0x0:0x1d661e44afdcf13c!3m1!1s2@1:CIHM0ogKEICAgICo2rHWvAE%7C%7C?hl=en", "View Link")</f>
        <v>View Link</v>
      </c>
      <c r="K8" s="5"/>
    </row>
    <row r="9" spans="1:11" ht="20" customHeight="1">
      <c r="A9" s="2"/>
      <c r="B9" s="2"/>
      <c r="C9" s="2"/>
      <c r="D9" s="2"/>
      <c r="E9" s="3"/>
      <c r="F9" s="4" t="s">
        <v>36</v>
      </c>
      <c r="G9" s="3">
        <v>3</v>
      </c>
      <c r="H9" s="2" t="s">
        <v>37</v>
      </c>
      <c r="I9" s="3" t="s">
        <v>38</v>
      </c>
      <c r="J9" s="5" t="str">
        <f>HYPERLINK("https://www.google.com/maps/reviews/data=!4m8!14m7!1m6!2m5!1sChZDSUhNMG9nS0VJQ0FnSURwXzdpeFB3EAE!2m1!1s0x0:0x1d661e44afdcf13c!3m1!1s2@1:CIHM0ogKEICAgIDp_7ixPw%7C%7C?hl=en", "View Link")</f>
        <v>View Link</v>
      </c>
      <c r="K9" s="5"/>
    </row>
    <row r="10" spans="1:11" ht="20" customHeight="1">
      <c r="A10" s="4" t="s">
        <v>39</v>
      </c>
      <c r="B10" s="4" t="s">
        <v>40</v>
      </c>
      <c r="C10" s="4" t="s">
        <v>41</v>
      </c>
      <c r="D10" s="4" t="s">
        <v>42</v>
      </c>
      <c r="E10" s="3">
        <v>4.8</v>
      </c>
      <c r="F10" s="4" t="s">
        <v>43</v>
      </c>
      <c r="G10" s="3">
        <v>1</v>
      </c>
      <c r="H10" s="2" t="s">
        <v>44</v>
      </c>
      <c r="I10" s="3" t="s">
        <v>45</v>
      </c>
      <c r="J10" s="5" t="str">
        <f>HYPERLINK("https://www.google.com/maps/reviews/data=!4m8!14m7!1m6!2m5!1sCi9DQUlRQUNvZENodHljRjlvT21OUk5WSjZVbHBoTVhsZlQyeGZRbUpPZVdoWlRYYxAB!2m1!1s0x0:0x6df618d6e9c01dc6!3m1!1s2@1:CAIQACodChtycF9oOmNRNVJ6UlphMXlfT2xfQmJOeWhZTXc%7C%7C?hl=en", "View Link")</f>
        <v>View Link</v>
      </c>
      <c r="K10" s="5" t="str">
        <f>HYPERLINK("https://www.google.com/maps/search/?api=1&amp;query=Cl%C3%ADnica%20DENTOS&amp;query_place_id=ChIJI-_K-cB7pRIRxh3A6dYY9m0", "Open Map")</f>
        <v>Open Map</v>
      </c>
    </row>
    <row r="11" spans="1:11" ht="20" customHeight="1">
      <c r="A11" s="4" t="s">
        <v>46</v>
      </c>
      <c r="B11" s="4" t="s">
        <v>47</v>
      </c>
      <c r="C11" s="4" t="s">
        <v>48</v>
      </c>
      <c r="D11" s="4" t="s">
        <v>49</v>
      </c>
      <c r="E11" s="3">
        <v>4.8</v>
      </c>
      <c r="F11" s="4" t="s">
        <v>50</v>
      </c>
      <c r="G11" s="3">
        <v>1</v>
      </c>
      <c r="H11" s="2" t="s">
        <v>51</v>
      </c>
      <c r="I11" s="3" t="s">
        <v>52</v>
      </c>
      <c r="J11" s="5" t="str">
        <f>HYPERLINK("https://www.google.com/maps/reviews/data=!4m8!14m7!1m6!2m5!1sChdDSUhNMG9nS0VJQ0FnSUNnXzliQnpRRRAB!2m1!1s0x0:0x25c07f8fdcfb287e!3m1!1s2@1:CIHM0ogKEICAgICg_9bBzQE%7C%7C?hl=en", "View Link")</f>
        <v>View Link</v>
      </c>
      <c r="K11" s="5" t="str">
        <f>HYPERLINK("https://www.google.com/maps/search/?api=1&amp;query=DENTALP%20-%20Dr.%20Josep%20Oriol%20Mart%C3%ADnez%20Dur%C3%A1n&amp;query_place_id=ChIJyWdxqmZ3pRIRfij73I9_wCU", "Open Map")</f>
        <v>Open Map</v>
      </c>
    </row>
    <row r="12" spans="1:11" ht="20" customHeight="1">
      <c r="A12" s="4" t="s">
        <v>53</v>
      </c>
      <c r="B12" s="4" t="s">
        <v>54</v>
      </c>
      <c r="C12" s="4" t="s">
        <v>55</v>
      </c>
      <c r="D12" s="4" t="s">
        <v>49</v>
      </c>
      <c r="E12" s="3">
        <v>4.7</v>
      </c>
      <c r="F12" s="4" t="s">
        <v>56</v>
      </c>
      <c r="G12" s="3">
        <v>1</v>
      </c>
      <c r="H12" s="2" t="s">
        <v>57</v>
      </c>
      <c r="I12" s="3" t="s">
        <v>58</v>
      </c>
      <c r="J12" s="5" t="str">
        <f>HYPERLINK("https://www.google.com/maps/reviews/data=!4m8!14m7!1m6!2m5!1sChdDSUhNMG9nS0VJQ0FnSURXdTVXTzNnRRAB!2m1!1s0x0:0x5b59107c43fa1a08!3m1!1s2@1:CIHM0ogKEICAgIDWu5WO3gE%7C%7C?hl=en", "View Link")</f>
        <v>View Link</v>
      </c>
      <c r="K12" s="5" t="str">
        <f>HYPERLINK("https://www.google.com/maps/search/?api=1&amp;query=Cl%C3%ADnica%20Dental%20Dr.%20J.%20Mestres&amp;query_place_id=ChIJUQq0Pcd7pRIRCBr6Q3wQWVs", "Open Map")</f>
        <v>Open Map</v>
      </c>
    </row>
  </sheetData>
  <mergeCells count="6">
    <mergeCell ref="A2:A9"/>
    <mergeCell ref="B2:B9"/>
    <mergeCell ref="C2:C9"/>
    <mergeCell ref="D2:D9"/>
    <mergeCell ref="E2:E9"/>
    <mergeCell ref="K2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 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2026-08-09T17:16:39Z</dcterms:created>
  <dcterms:modified xsi:type="dcterms:W3CDTF">2026-08-09T17:16:39Z</dcterms:modified>
</cp:coreProperties>
</file>