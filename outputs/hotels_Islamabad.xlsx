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<sst xmlns="http://schemas.openxmlformats.org/spreadsheetml/2006/main" count="43" uniqueCount="27">
  <si>
    <t>Business Name</t>
  </si>
  <si>
    <t>Address</t>
  </si>
  <si>
    <t>Phone</t>
  </si>
  <si>
    <t>Email</t>
  </si>
  <si>
    <t>Business Rating</t>
  </si>
  <si>
    <t>Reviewer Name</t>
  </si>
  <si>
    <t>Review Stars</t>
  </si>
  <si>
    <t>Review Text</t>
  </si>
  <si>
    <t>Review Date</t>
  </si>
  <si>
    <t>Review Link</t>
  </si>
  <si>
    <t>Business Maps Link</t>
  </si>
  <si>
    <t>Oriole Guest House</t>
  </si>
  <si>
    <t>9 Street 55, G-9/4 G 9/4 G-9, Islamabad, 44090, Pakistan</t>
  </si>
  <si>
    <t>+92 312 5999970</t>
  </si>
  <si>
    <t>contact@orioleguesthouse.com</t>
  </si>
  <si>
    <t>Umer Khan</t>
  </si>
  <si>
    <t>The only thing good about this hotel is the location and everything else is absolutely zero, they turn off the hot water when they like and pretend there's no gas, the price they are charging you can get a much better place in G9 markaz, I definitely don't recommend this hotel if you want to get at least a basic service. It's very noisy staff with zero management and unprofessional staff definitely not recommended for a proper guest house experience 100% disappointing. Honestly speaking it's less of a hotel and more of a street food stall experience with no food.</t>
  </si>
  <si>
    <t>2024-05-13T07:53:36.446Z</t>
  </si>
  <si>
    <t>Naveed Shahzad</t>
  </si>
  <si>
    <t>Worst experience.
They build a new hotel with existing one.
And chsrging like 4 star hotel.
Zero facilities.
And
No parking facility, you have to park along road side if you are lucky one.
Otherwise at busy road, no place to park.
Highly not recommended.</t>
  </si>
  <si>
    <t>2024-08-22T15:12:31.468Z</t>
  </si>
  <si>
    <t>Muhammad Sohail</t>
  </si>
  <si>
    <t>I had a very disappointing experience at Oriole Guest House in G-9, Islamabad. I booked through your platform at a confirmed price of PKR 3,058. However, upon arrival, the manager claimed the room wasn’t ready and later demanded PKR 5,000 instead. When I refused, the staff behaved rudely, and I was asked to leave.
This caused significant inconvenience to me and my family. I request that you look into this issue and take appropriate action against the property.
Thank you,</t>
  </si>
  <si>
    <t>2025-06-25T09:23:01.925Z</t>
  </si>
  <si>
    <t>Abdul Azeem</t>
  </si>
  <si>
    <t>Please never make a mistake to book a room here. I booked a room online and my brother traveled from Gujranwala to reach there. When he reached there at 11:30pm, the hotel staf refused him entry. There was another person there who booked the room online and they refused him entry too. They said if you had called us, we would have given you room. I have traveled so many times in my life both inside and outside of Pakistan, mostly Europe. Never seen anything like this. I wonder why this hotel even has a rating above 3 stars. I wish there was a negative star available for places like these.</t>
  </si>
  <si>
    <t>2024-08-25T18:48:20.382Z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</si>
</sst>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cols>
    <col min="1" max="1" width="21.7109375" customWidth="1"/>
    <col min="2" max="2" width="59.7109375" customWidth="1"/>
    <col min="3" max="3" width="18.7109375" customWidth="1"/>
    <col min="4" max="4" width="31.7109375" customWidth="1"/>
    <col min="5" max="6" width="18.7109375" customWidth="1"/>
    <col min="7" max="7" width="15.7109375" customWidth="1"/>
    <col min="8" max="8" width="597.7109375" customWidth="1"/>
    <col min="9" max="9" width="27.7109375" customWidth="1"/>
    <col min="10" max="10" width="14.7109375" customWidth="1"/>
    <col min="11" max="11" width="21.7109375" customWidth="1"/>
  </cols>
  <sheetData>
    <row r="1" spans="1:11" ht="26" customHeight="1">
      <c r="A1" s="1" t="s">
        <v>0</v>
      </c>
      <c r="B1" s="1" t="s">
        <v>1</v>
      </c>
      <c r="C1" s="1" t="s">
        <v>2</v>
      </c>
      <c r="D1" s="1" t="s">
        <v>3</v>
      </c>
      <c r="E1" s="1" t="s">
        <v>4</v>
      </c>
      <c r="F1" s="1" t="s">
        <v>5</v>
      </c>
      <c r="G1" s="1" t="s">
        <v>6</v>
      </c>
      <c r="H1" s="1" t="s">
        <v>7</v>
      </c>
      <c r="I1" s="1" t="s">
        <v>8</v>
      </c>
      <c r="J1" s="1" t="s">
        <v>9</v>
      </c>
      <c r="K1" s="1" t="s">
        <v>10</v>
      </c>
    </row>
    <row r="2" spans="1:11" ht="20" customHeight="1">
      <c r="A2" s="2" t="s">
        <v>11</v>
      </c>
      <c r="B2" s="2" t="s">
        <v>12</v>
      </c>
      <c r="C2" s="2" t="s">
        <v>13</v>
      </c>
      <c r="D2" s="2" t="s">
        <v>14</v>
      </c>
      <c r="E2" s="3">
        <v>3.9</v>
      </c>
      <c r="F2" s="4" t="s">
        <v>15</v>
      </c>
      <c r="G2" s="3">
        <v>1</v>
      </c>
      <c r="H2" s="2" t="s">
        <v>16</v>
      </c>
      <c r="I2" s="3" t="s">
        <v>17</v>
      </c>
      <c r="J2" s="5" t="str">
        <f>HYPERLINK("https://www.google.com/maps/reviews/data=!4m8!14m7!1m6!2m5!1sChdDSUhNMG9nS0VJQ0FnSURqckkyZmlRRRAB!2m1!1s0x0:0xd74d393578fa954b!3m1!1s2@1:CIHM0ogKEICAgIDjrI2fiQE%7C%7C?hl=en", "View Link")</f>
        <v>View Link</v>
      </c>
      <c r="K2" s="5">
        <f>HYPERLINK("https://www.google.com/maps/search/?api=1&amp;query=Oriole%20Guest%20House&amp;query_place_id=ChIJjUwxNtO_3zgRS5X6eDU5Tdc", "Open Map")</f>
        <v>0</v>
      </c>
    </row>
    <row r="3" spans="1:11" ht="20" customHeight="1">
      <c r="A3" s="2"/>
      <c r="B3" s="2"/>
      <c r="C3" s="2"/>
      <c r="D3" s="2"/>
      <c r="E3" s="3"/>
      <c r="F3" s="4" t="s">
        <v>18</v>
      </c>
      <c r="G3" s="3">
        <v>1</v>
      </c>
      <c r="H3" s="2" t="s">
        <v>19</v>
      </c>
      <c r="I3" s="3" t="s">
        <v>20</v>
      </c>
      <c r="J3" s="5" t="str">
        <f>HYPERLINK("https://www.google.com/maps/reviews/data=!4m8!14m7!1m6!2m5!1sChdDSUhNMG9nS0VJQ0FnSUQ3Z3NHSnpBRRAB!2m1!1s0x0:0xd74d393578fa954b!3m1!1s2@1:CIHM0ogKEICAgID7gsGJzAE%7C%7C?hl=en", "View Link")</f>
        <v>View Link</v>
      </c>
      <c r="K3" s="5"/>
    </row>
    <row r="4" spans="1:11" ht="20" customHeight="1">
      <c r="A4" s="2"/>
      <c r="B4" s="2"/>
      <c r="C4" s="2"/>
      <c r="D4" s="2"/>
      <c r="E4" s="3"/>
      <c r="F4" s="4" t="s">
        <v>21</v>
      </c>
      <c r="G4" s="3">
        <v>1</v>
      </c>
      <c r="H4" s="2" t="s">
        <v>22</v>
      </c>
      <c r="I4" s="3" t="s">
        <v>23</v>
      </c>
      <c r="J4" s="5" t="str">
        <f>HYPERLINK("https://www.google.com/maps/reviews/data=!4m8!14m7!1m6!2m5!1sCi9DQUlRQUNvZENodHljRjlvT2xCYVRuSktRMDlPY0hwSmNGUkNjbmxTU3pOMU1VRRAB!2m1!1s0x0:0xd74d393578fa954b!3m1!1s2@1:CAIQACodChtycF9oOlBaTnJKQ09OcHpJcFRCcnlSSzN1MUE%7C%7C?hl=en", "View Link")</f>
        <v>View Link</v>
      </c>
      <c r="K4" s="5"/>
    </row>
    <row r="5" spans="1:11" ht="20" customHeight="1">
      <c r="A5" s="2"/>
      <c r="B5" s="2"/>
      <c r="C5" s="2"/>
      <c r="D5" s="2"/>
      <c r="E5" s="3"/>
      <c r="F5" s="4" t="s">
        <v>24</v>
      </c>
      <c r="G5" s="3">
        <v>1</v>
      </c>
      <c r="H5" s="2" t="s">
        <v>25</v>
      </c>
      <c r="I5" s="3" t="s">
        <v>26</v>
      </c>
      <c r="J5" s="5" t="str">
        <f>HYPERLINK("https://www.google.com/maps/reviews/data=!4m8!14m7!1m6!2m5!1sChZDSUhNMG9nS0VJQ0FnSUQ3cWVXdllnEAE!2m1!1s0x0:0xd74d393578fa954b!3m1!1s2@1:CIHM0ogKEICAgID7qeWvYg%7C%7C?hl=en", "View Link")</f>
        <v>View Link</v>
      </c>
      <c r="K5" s="5"/>
    </row>
  </sheetData>
  <mergeCells count="6">
    <mergeCell ref="A2:A5"/>
    <mergeCell ref="B2:B5"/>
    <mergeCell ref="C2:C5"/>
    <mergeCell ref="D2:D5"/>
    <mergeCell ref="E2:E5"/>
    <mergeCell ref="K2:K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2026-08-09T21:20:59Z</dcterms:created>
  <dcterms:modified xsi:type="dcterms:W3CDTF">2026-08-09T21:20:59Z</dcterms:modified>
</cp:coreProperties>
</file>