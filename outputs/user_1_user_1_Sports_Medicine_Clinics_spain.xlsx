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gative Reviews" sheetId="1" r:id="rId1"/>
  </sheets>
  <calcPr calcId="124519" fullCalcOnLoad="1"/>
</workbook>
</file>

<file path=xl/sharedStrings.xml><?xml version="1.0" encoding="utf-8"?>
<sst xmlns="http://schemas.openxmlformats.org/spreadsheetml/2006/main" count="79" uniqueCount="43">
  <si>
    <t>Business Name</t>
  </si>
  <si>
    <t>Address</t>
  </si>
  <si>
    <t>Phone</t>
  </si>
  <si>
    <t>Email</t>
  </si>
  <si>
    <t>Website</t>
  </si>
  <si>
    <t>Business Rating</t>
  </si>
  <si>
    <t>Reviewer Name</t>
  </si>
  <si>
    <t>Review Stars</t>
  </si>
  <si>
    <t>Review Text</t>
  </si>
  <si>
    <t>Review Date</t>
  </si>
  <si>
    <t>Review Link</t>
  </si>
  <si>
    <t>Business Maps Link</t>
  </si>
  <si>
    <t>NOVEM CLINIC</t>
  </si>
  <si>
    <t>P.º Maritimo Antonio Machado, 28, Distrito Centro, 29002 Málaga, Spain</t>
  </si>
  <si>
    <t>+34 648 61 32 58</t>
  </si>
  <si>
    <t>info@novem.es</t>
  </si>
  <si>
    <t>John Stingray</t>
  </si>
  <si>
    <t>I'm fully dissapointed with the service and competency</t>
  </si>
  <si>
    <t>2026-07-17T18:31:29.906Z</t>
  </si>
  <si>
    <t>Maxim Sherba</t>
  </si>
  <si>
    <t>NO LO RECOMIENDO. ¡TENGAN MUCHO CUIDADO! Antes de pedir la cita por WhatsApp expliqué claramente cuál era mi diagnóstico y el motivo de la consulta. Aun así, me asignaron un médico que, al recibirme, me dijo que ese caso no era de su competencia y que no sabía cómo ayudarme. ¿Entonces para qué confirmaron la cita si ya conocían el motivo de mi consulta? Cobrar una consulta solo para decir que el médico no puede atender ese problema me parece una falta de profesionalidad y una pérdida de tiempo y dinero.</t>
  </si>
  <si>
    <t>2026-07-06T19:02:57.171Z</t>
  </si>
  <si>
    <t>Max</t>
  </si>
  <si>
    <t>No revisé las opiniones recientes sobre esta clínica antes de acudir, pero ahora entiendo que probablemente sean ciertas. Mi experiencia ha sido decepcionante. No estoy satisfecho ni con la atención recibida ni con la competencia del médico.</t>
  </si>
  <si>
    <t>2026-07-13T07:06:21.162Z</t>
  </si>
  <si>
    <t>Catalina</t>
  </si>
  <si>
    <t>No recomiendo esta clínica. La calidad del servicio ha empeorado muchísimo. Antes la atención era mucho mejor, pero ahora da la impresión de que solo intentan sacarte el mayor dinero posible.</t>
  </si>
  <si>
    <t>2026-07-10T18:03:51.009Z</t>
  </si>
  <si>
    <t>Manuel Díaz Alba</t>
  </si>
  <si>
    <t>Reservé una cita a través de WhatsApp, confiando en que mi turno estaría correctamente agendado. Sin embargo, al llegar a la clínica, la persona de recepción me hizo esperar aproximadamente una hora sin ninguna explicación.
Cuando finalmente me acerqué a hablar con ella, me informó que la cita nunca había sido reservada, lo cual considero una falta de responsabilidad por parte del personal, ya que no verificaron ni confirmaron el estado de mi cita al momento de mi llegada. Esto no solo generó una pérdida de tiempo, sino también una mala experiencia y una sensación de falta de organización por parte de su clínica</t>
  </si>
  <si>
    <t>2025-07-31T22:34:32.491Z</t>
  </si>
  <si>
    <t>Álvaro Gmz Crbll</t>
  </si>
  <si>
    <t>No ha sido una buena experiencia, ya que no me han tratado bien en varios aspectos en la manera en que me comunicaba con la empresa, que era a través de WhatsApp. Me han tratado con indiferencia, poca resolución, negativas y etc. teniendo una lesión y en definitiva dándoles igual todo incluso como yo procediera, que al final ha sido poniendo una hoja de reclamaciones.
Respondiendo a vuestra respuesta a mi experiencia decís que ha sido imposible que "yo" saque hueco para que me atendáis...cuando vosotros como empresa sois los que tenéis que intentar hacerme ese hueco y "no habéis querido" hacerlo porque no os ha dado la gana o por algún motivo que desconozco, pero por aquí no queráis quedar bien porque no va a ser así.</t>
  </si>
  <si>
    <t>2024-09-27T13:19:46.847Z</t>
  </si>
  <si>
    <t>Samuel Atienza Gamaza</t>
  </si>
  <si>
    <t>Me intentaron vender un diagnóstico que no es cuando en el resto de sitios que acudí coincidian en que no habia rotura, supongo que para que pagase un tratamiento...
Las pruebas (resonancia) me las hice en otro centro y me dijeron que no habia nada. Acudí a otros Traumatologos y me dijeron lo mismo. Mi problema se solucionó sin el tratamiento recomendado finalmente el cual me costaría al rededor de 200 euros.</t>
  </si>
  <si>
    <t>2024-07-13T06:43:16.527Z</t>
  </si>
  <si>
    <t>Alfonso OM</t>
  </si>
  <si>
    <t>No recomiendo el trato de este doctor ya que no es cercano ni sabe tratar enfermedades crónicas a sus pacientes.
Te dice que te vayas a otro especialista de muy malas maneras para no seguir con el tratamiento a través de la compañía.
Para mas inri, se inventan las respuestas, no he solicitado ningún servicio en fin de semana.</t>
  </si>
  <si>
    <t>2025-03-11T08:07:55.858Z</t>
  </si>
  <si>
    <t>Alejandro García</t>
  </si>
  <si>
    <t>La consulta fue muy breve y tuve la impresión de que el traumatólogo no evaluó mi caso con la suficiente atención. Me fui sin respuestas claras. No recomendaría esta clínica.</t>
  </si>
  <si>
    <t>2026-07-31T21:02:21.459Z</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</si>
</sst>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rgb="FF0000FF"/>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0" xfId="0" applyAlignment="1">
      <alignment horizontal="left" vertical="center" wrapText="1"/>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0"/>
  <sheetViews>
    <sheetView tabSelected="1" workbookViewId="0"/>
  </sheetViews>
  <sheetFormatPr defaultRowHeight="15"/>
  <cols>
    <col min="1" max="1" width="16.7109375" customWidth="1"/>
    <col min="2" max="2" width="73.7109375" customWidth="1"/>
    <col min="3" max="3" width="19.7109375" customWidth="1"/>
    <col min="4" max="5" width="16.7109375" customWidth="1"/>
    <col min="6" max="6" width="18.7109375" customWidth="1"/>
    <col min="7" max="7" width="24.7109375" customWidth="1"/>
    <col min="8" max="8" width="15.7109375" customWidth="1"/>
    <col min="9" max="9" width="730.7109375" customWidth="1"/>
    <col min="10" max="10" width="27.7109375" customWidth="1"/>
    <col min="11" max="11" width="14.7109375" customWidth="1"/>
    <col min="12" max="12" width="21.7109375" customWidth="1"/>
  </cols>
  <sheetData>
    <row r="1" spans="1:12" ht="26" customHeight="1">
      <c r="A1" s="1" t="s">
        <v>0</v>
      </c>
      <c r="B1" s="1" t="s">
        <v>1</v>
      </c>
      <c r="C1" s="1" t="s">
        <v>2</v>
      </c>
      <c r="D1" s="1" t="s">
        <v>3</v>
      </c>
      <c r="E1" s="1" t="s">
        <v>4</v>
      </c>
      <c r="F1" s="1" t="s">
        <v>5</v>
      </c>
      <c r="G1" s="1" t="s">
        <v>6</v>
      </c>
      <c r="H1" s="1" t="s">
        <v>7</v>
      </c>
      <c r="I1" s="1" t="s">
        <v>8</v>
      </c>
      <c r="J1" s="1" t="s">
        <v>9</v>
      </c>
      <c r="K1" s="1" t="s">
        <v>10</v>
      </c>
      <c r="L1" s="1" t="s">
        <v>11</v>
      </c>
    </row>
    <row r="2" spans="1:12" ht="20" customHeight="1">
      <c r="A2" s="2" t="s">
        <v>12</v>
      </c>
      <c r="B2" s="2" t="s">
        <v>13</v>
      </c>
      <c r="C2" s="2" t="s">
        <v>14</v>
      </c>
      <c r="D2" s="2" t="s">
        <v>15</v>
      </c>
      <c r="E2" s="3">
        <f>HYPERLINK("https://novem.es/", "Visit Website")</f>
        <v>0</v>
      </c>
      <c r="F2" s="4">
        <v>4.2</v>
      </c>
      <c r="G2" s="5" t="s">
        <v>16</v>
      </c>
      <c r="H2" s="4">
        <v>1</v>
      </c>
      <c r="I2" s="2" t="s">
        <v>17</v>
      </c>
      <c r="J2" s="4" t="s">
        <v>18</v>
      </c>
      <c r="K2" s="3" t="str">
        <f>HYPERLINK("https://www.google.com/maps/reviews/data=!4m8!14m7!1m6!2m5!1sCi9DQUlRQUNvZENodHljRjlvT2xkdlRHaEJRekY2Vm5OelEwdFRZVlJDT1RkQlRIYxAB!2m1!1s0x0:0x47be890b013ab6e3!3m1!1s2@1:CAIQACodChtycF9oOldvTGhBQzF6VnNzQ0tTYVRCOTdBTHc%7C%7C?hl=en", "View Link")</f>
        <v>View Link</v>
      </c>
      <c r="L2" s="3">
        <f>HYPERLINK("https://www.google.com/maps/search/?api=1&amp;query=NOVEM%20CLINIC&amp;query_place_id=ChIJ3bzhEiH3cg0R47Y6AQuJvkc", "Open Map")</f>
        <v>0</v>
      </c>
    </row>
    <row r="3" spans="1:12" ht="20" customHeight="1">
      <c r="A3" s="2"/>
      <c r="B3" s="2"/>
      <c r="C3" s="2"/>
      <c r="D3" s="2"/>
      <c r="E3" s="3"/>
      <c r="F3" s="4"/>
      <c r="G3" s="5" t="s">
        <v>19</v>
      </c>
      <c r="H3" s="4">
        <v>1</v>
      </c>
      <c r="I3" s="2" t="s">
        <v>20</v>
      </c>
      <c r="J3" s="4" t="s">
        <v>21</v>
      </c>
      <c r="K3" s="3" t="str">
        <f>HYPERLINK("https://www.google.com/maps/reviews/data=!4m8!14m7!1m6!2m5!1sCi9DQUlRQUNvZENodHljRjlvT201MGNtWXdUbUZLYVVVeVJGaHRjRVJWVjFsTlkzYxAB!2m1!1s0x0:0x47be890b013ab6e3!3m1!1s2@1:CAIQACodChtycF9oOm50cmYwTmFKaUUyRFhtcERVV1lNY3c%7C%7C?hl=en", "View Link")</f>
        <v>View Link</v>
      </c>
      <c r="L3" s="3"/>
    </row>
    <row r="4" spans="1:12" ht="20" customHeight="1">
      <c r="A4" s="2"/>
      <c r="B4" s="2"/>
      <c r="C4" s="2"/>
      <c r="D4" s="2"/>
      <c r="E4" s="3"/>
      <c r="F4" s="4"/>
      <c r="G4" s="5" t="s">
        <v>22</v>
      </c>
      <c r="H4" s="4">
        <v>1</v>
      </c>
      <c r="I4" s="2" t="s">
        <v>23</v>
      </c>
      <c r="J4" s="4" t="s">
        <v>24</v>
      </c>
      <c r="K4" s="3" t="str">
        <f>HYPERLINK("https://www.google.com/maps/reviews/data=!4m8!14m7!1m6!2m5!1sCi9DQUlRQUNvZENodHljRjlvT25wTGNrOURWSFF4UzI1RE4wNVFRMjlvUVROemFHYxAB!2m1!1s0x0:0x47be890b013ab6e3!3m1!1s2@1:CAIQACodChtycF9oOnpLck9DVHQxS25DN05QQ29oQTNzaGc%7C%7C?hl=en", "View Link")</f>
        <v>View Link</v>
      </c>
      <c r="L4" s="3"/>
    </row>
    <row r="5" spans="1:12" ht="20" customHeight="1">
      <c r="A5" s="2"/>
      <c r="B5" s="2"/>
      <c r="C5" s="2"/>
      <c r="D5" s="2"/>
      <c r="E5" s="3"/>
      <c r="F5" s="4"/>
      <c r="G5" s="5" t="s">
        <v>25</v>
      </c>
      <c r="H5" s="4">
        <v>1</v>
      </c>
      <c r="I5" s="2" t="s">
        <v>26</v>
      </c>
      <c r="J5" s="4" t="s">
        <v>27</v>
      </c>
      <c r="K5" s="3" t="str">
        <f>HYPERLINK("https://www.google.com/maps/reviews/data=!4m8!14m7!1m6!2m5!1sCi9DQUlRQUNvZENodHljRjlvT20xT1puTm5XbVEyZFVkNVNUQllWRGxmU0ZFNU9XYxAB!2m1!1s0x0:0x47be890b013ab6e3!3m1!1s2@1:CAIQACodChtycF9oOm1OZnNnWmQ2dUd5STBYVDlfSFE5OWc%7C%7C?hl=en", "View Link")</f>
        <v>View Link</v>
      </c>
      <c r="L5" s="3"/>
    </row>
    <row r="6" spans="1:12" ht="20" customHeight="1">
      <c r="A6" s="2"/>
      <c r="B6" s="2"/>
      <c r="C6" s="2"/>
      <c r="D6" s="2"/>
      <c r="E6" s="3"/>
      <c r="F6" s="4"/>
      <c r="G6" s="5" t="s">
        <v>28</v>
      </c>
      <c r="H6" s="4">
        <v>1</v>
      </c>
      <c r="I6" s="2" t="s">
        <v>29</v>
      </c>
      <c r="J6" s="4" t="s">
        <v>30</v>
      </c>
      <c r="K6" s="3" t="str">
        <f>HYPERLINK("https://www.google.com/maps/reviews/data=!4m8!14m7!1m6!2m5!1sCi9DQUlRQUNvZENodHljRjlvT25RNWFVcGhiME5QUkVGUlpWZGljRjlRVURKcWNFRRAB!2m1!1s0x0:0x47be890b013ab6e3!3m1!1s2@1:CAIQACodChtycF9oOnQ5aUphb0NPREFRZVdicF9QUDJqcEE%7C%7C?hl=en", "View Link")</f>
        <v>View Link</v>
      </c>
      <c r="L6" s="3"/>
    </row>
    <row r="7" spans="1:12" ht="20" customHeight="1">
      <c r="A7" s="2"/>
      <c r="B7" s="2"/>
      <c r="C7" s="2"/>
      <c r="D7" s="2"/>
      <c r="E7" s="3"/>
      <c r="F7" s="4"/>
      <c r="G7" s="5" t="s">
        <v>31</v>
      </c>
      <c r="H7" s="4">
        <v>1</v>
      </c>
      <c r="I7" s="2" t="s">
        <v>32</v>
      </c>
      <c r="J7" s="4" t="s">
        <v>33</v>
      </c>
      <c r="K7" s="3" t="str">
        <f>HYPERLINK("https://www.google.com/maps/reviews/data=!4m8!14m7!1m6!2m5!1sChdDSUhNMG9nS0VJQ0FnSUNyMUphNGpnRRAB!2m1!1s0x0:0x47be890b013ab6e3!3m1!1s2@1:CIHM0ogKEICAgICr1Ja4jgE%7C%7C?hl=en", "View Link")</f>
        <v>View Link</v>
      </c>
      <c r="L7" s="3"/>
    </row>
    <row r="8" spans="1:12" ht="20" customHeight="1">
      <c r="A8" s="2"/>
      <c r="B8" s="2"/>
      <c r="C8" s="2"/>
      <c r="D8" s="2"/>
      <c r="E8" s="3"/>
      <c r="F8" s="4"/>
      <c r="G8" s="5" t="s">
        <v>34</v>
      </c>
      <c r="H8" s="4">
        <v>1</v>
      </c>
      <c r="I8" s="2" t="s">
        <v>35</v>
      </c>
      <c r="J8" s="4" t="s">
        <v>36</v>
      </c>
      <c r="K8" s="3" t="str">
        <f>HYPERLINK("https://www.google.com/maps/reviews/data=!4m8!14m7!1m6!2m5!1sChdDSUhNMG9nS0VJQ0FnSUNyeF9Td2dBRRAB!2m1!1s0x0:0x47be890b013ab6e3!3m1!1s2@1:CIHM0ogKEICAgICrx_SwgAE%7C%7C?hl=en", "View Link")</f>
        <v>View Link</v>
      </c>
      <c r="L8" s="3"/>
    </row>
    <row r="9" spans="1:12" ht="20" customHeight="1">
      <c r="A9" s="2"/>
      <c r="B9" s="2"/>
      <c r="C9" s="2"/>
      <c r="D9" s="2"/>
      <c r="E9" s="3"/>
      <c r="F9" s="4"/>
      <c r="G9" s="5" t="s">
        <v>37</v>
      </c>
      <c r="H9" s="4">
        <v>1</v>
      </c>
      <c r="I9" s="2" t="s">
        <v>38</v>
      </c>
      <c r="J9" s="4" t="s">
        <v>39</v>
      </c>
      <c r="K9" s="3" t="str">
        <f>HYPERLINK("https://www.google.com/maps/reviews/data=!4m8!14m7!1m6!2m5!1sChZDSUhNMG9nS0VJQ0FnTUNBX2ZMMkVBEAE!2m1!1s0x0:0x47be890b013ab6e3!3m1!1s2@1:CIHM0ogKEICAgMCA_fL2EA%7C%7C?hl=en", "View Link")</f>
        <v>View Link</v>
      </c>
      <c r="L9" s="3"/>
    </row>
    <row r="10" spans="1:12" ht="20" customHeight="1">
      <c r="A10" s="2"/>
      <c r="B10" s="2"/>
      <c r="C10" s="2"/>
      <c r="D10" s="2"/>
      <c r="E10" s="3"/>
      <c r="F10" s="4"/>
      <c r="G10" s="5" t="s">
        <v>40</v>
      </c>
      <c r="H10" s="4">
        <v>1</v>
      </c>
      <c r="I10" s="2" t="s">
        <v>41</v>
      </c>
      <c r="J10" s="4" t="s">
        <v>42</v>
      </c>
      <c r="K10" s="3" t="str">
        <f>HYPERLINK("https://www.google.com/maps/reviews/data=!4m8!14m7!1m6!2m5!1sCi9DQUlRQUNvZENodHljRjlvT2twS05Hb3lOSGhXUmpJeGRVWmlWRzh3V0VWMk5uYxAB!2m1!1s0x0:0x47be890b013ab6e3!3m1!1s2@1:CAIQACodChtycF9oOkpKNGoyNHhWRjIxdUZiVG8wWEV2Nnc%7C%7C?hl=en", "View Link")</f>
        <v>View Link</v>
      </c>
      <c r="L10" s="3"/>
    </row>
  </sheetData>
  <mergeCells count="7">
    <mergeCell ref="A2:A10"/>
    <mergeCell ref="B2:B10"/>
    <mergeCell ref="C2:C10"/>
    <mergeCell ref="D2:D10"/>
    <mergeCell ref="E2:E10"/>
    <mergeCell ref="F2:F10"/>
    <mergeCell ref="L2:L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Negative Reviews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2026-08-11T14:47:32Z</dcterms:created>
  <dcterms:modified xsi:type="dcterms:W3CDTF">2026-08-11T14:47:32Z</dcterms:modified>
</cp:coreProperties>
</file>