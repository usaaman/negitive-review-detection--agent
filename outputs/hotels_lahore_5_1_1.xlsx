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<sst xmlns="http://schemas.openxmlformats.org/spreadsheetml/2006/main" count="129" uniqueCount="69">
  <si>
    <t>Business Name</t>
  </si>
  <si>
    <t>Address</t>
  </si>
  <si>
    <t>Phone</t>
  </si>
  <si>
    <t>Email</t>
  </si>
  <si>
    <t>Website</t>
  </si>
  <si>
    <t>Business Rating</t>
  </si>
  <si>
    <t>Reviewer Name</t>
  </si>
  <si>
    <t>Review Stars</t>
  </si>
  <si>
    <t>Review Text</t>
  </si>
  <si>
    <t>Review Date</t>
  </si>
  <si>
    <t>Review Link</t>
  </si>
  <si>
    <t>Business Maps Link</t>
  </si>
  <si>
    <t>Pearl Continental Hotel, Lahore</t>
  </si>
  <si>
    <t>Shahrah-e-Quaid-e-Azam, Garhi Shahu, Lahore, Pakistan</t>
  </si>
  <si>
    <t>+92 42 111 505 505</t>
  </si>
  <si>
    <t>pchk@pchotels.com</t>
  </si>
  <si>
    <t>딱콩이</t>
  </si>
  <si>
    <t>​I absolutely do not recommend this hotel. If you are a foreigner, I strongly advise against staying here.
While the PC Hotel is said to have a rich heritage in Pakistan, the behavior of some staff members is highly problematic.
​1. Unacceptable Service and Responsiveness
Requesting basic amenities like towels or bottled water takes at least a full day. Even after calling multiple times, they routinely promise it will arrive "in 5 minutes," yet nothing shows up by the next day. Going down to the reception to complain in person yields the exact same result—they simply claim they will inform the staff, and the items still don't arrive for days. They fail to respond to any requests, not just basic amenities. To make matters worse, some staff members even openly mocked and laughed at me as a foreigner.
​2. Financial Misconduct during Currency Exchange
When exchanging money, the staff did not return the correct change, claiming they "didn't have enough cash." When I demanded the remaining amount, they promised to deliver it to my room but never did. It strongly appears that the employees are pocketing guests' money this way.
The relevant department needs to thoroughly retrain their staff and take this matter seriously instead of brushing it off.
To anyone considering booking this hotel: I absolutely, under no circumstances, recommend this place.</t>
  </si>
  <si>
    <t>2026-05-16T18:32:21.896Z</t>
  </si>
  <si>
    <t>Laila M</t>
  </si>
  <si>
    <t>The property is managed horrible the whole experience was bad. checked in at 10pm they couldn’t find the booking on booking.com I don’t know if there system is slow. Waiting an hour for the room. Checked into the first room at 11pm Netflix was working was told they won’t work at the hotel anyways we moved rooms Netflix was working but ac wasn’t working the guy came out to fix it at 12:30pm, it didn’t kool the room at all. At 2pm I asked for a floor fan. And 3pm we was fustrated as they relised an hour later they have  no floor fan and we needed to move again soo we packed again for the second time and moved rooms again. We put that’s behind us. The next morning bearing in mind we went to sleep after 4 the cleaners keep knocking the door from 10am. Anyways at 11:20 we asked the cleaner for some fruit and some water as we had non of this in our room. At 12 I called downstairs three times I called downstairs as my husband is diabetic. And needed something to eat. At 1:30 we went downstairs, with no fruit been delivered. I complained to the lady manager working until 5pm on the 7th of July she took notes and said will get back to us. On our return at 8, no message was left and the staff didn’t know anything, they couldn’t figure out who the manager was. Anyways he complained again. To riasat and said all we needed was acknowledgment and an apology. Anyways he did get send the fruit we originally asked for at 11am at 11pm. The staff doesn’t communicate with each other or are not sympathetic at all. Tried logging a complaint twice but doubt this was done
Would never say here again.</t>
  </si>
  <si>
    <t>2026-07-08T10:01:39.699Z</t>
  </si>
  <si>
    <t>Malik Waqas</t>
  </si>
  <si>
    <t>My recent stay at PC Hotel Lahore was extremely disappointing and far below the standard expected from a luxury hotel.
The room was outdated, poorly maintained, and not properly cleaned. The carpet was visibly dirty, making the room feel unhygienic. The TV setup was old-fashioned with an outdated cabinet, there was no Smart TV to enjoy Netflix or YouTube, and most TV channels were either unavailable or not working. There was virtually no in-room entertainment.
The service was equally disappointing. Although the official check-in time is 2:00 PM, we arrived around 4:00 PM and were still asked to wait for almost an hour because the room was "not ready." This is unacceptable for a hotel of this reputation.
PC Hotel Lahore seriously needs major renovations, better housekeeping, improved customer service, and a more efficient check-in process.
Unfortunately, this stay was not worth the money, and it affected our leisure time. I hope the management takes these issues seriously and improves the overall guest experience.</t>
  </si>
  <si>
    <t>2026-07-06T10:48:14.240Z</t>
  </si>
  <si>
    <t>sha attique</t>
  </si>
  <si>
    <t>We were very disappointed with our stay at PC. The service did not meet the standards we expected. The room was not properly maintained, several issues were not resolved despite informing the staff, and the overall experience was stressful rather than comfortable. We expected much better hospitality and professionalism from a hotel of this reputation. Unfortunately, our stay did not provide good value for the price we paid.</t>
  </si>
  <si>
    <t>2026-07-11T20:50:56.956Z</t>
  </si>
  <si>
    <t>Shumaila Jawed</t>
  </si>
  <si>
    <t>Oh my God it was such a disappointment as soon as we got into rooms hallway… dingy, bad lighting,smelly stinky like a 2 star hotel, dirty carpet with baby lizards on floor. Due to seepage hallway had a distinct smell.
AC doesn’t work, it’s centrally controlled so it’s too hot for me at night effecting my sleep.
Rooms are outdated , carpets are dirty and have stains, room sofas are uncomfortable. Wardrobe is horrible.. refrigerator dirty.. (pic attached)
Room doors damaged(pic attached)
The toiletries aren’t 5* quality, usually you have decent amenities. so it feels a very big, old 3-4* hotel based on cleanliness and products. Entrance too long
Wouldn’t stay again.</t>
  </si>
  <si>
    <t>2026-07-12T20:29:04.242Z</t>
  </si>
  <si>
    <t>Faletti's Hotel Lahore</t>
  </si>
  <si>
    <t>24 Egerton Rd, Garhi Shahu, Lahore, 54000, Pakistan</t>
  </si>
  <si>
    <t>+92 42 111 444 333</t>
  </si>
  <si>
    <t>info@ihms.com.pk</t>
  </si>
  <si>
    <t>Waleed Hussain</t>
  </si>
  <si>
    <t>I arranged recently nikkah ceremony here Food taste 1/10 . Jo mutton biryani thi mutton to tha he nahi andar and waiter intahai batmeez. Hall ki lights 30 minutes late on hoi or pory 10 bje band krdi. Very disappointed don’t waste your money &amp; event.</t>
  </si>
  <si>
    <t>2026-06-15T09:32:33.535Z</t>
  </si>
  <si>
    <t>W.</t>
  </si>
  <si>
    <t>Yesterday, I had a very disappointing experience with this Hotel in Lahore despite having stayed there previously for an extended period (8 months) in COVID.
So, About a month before my trip, I made a reservation directly through their official website and received a confirmation. The full payment for a six-day stay was deducted in advance.
After traveling internationally for around 18 hours, I arrived at the hotel expecting a smooth check-in. Instead, the reception staff immediately stated that they do not accept online bookings. They did not check my name, reservation details, or even attempt to look into the system. The interaction felt cold and dismissive, with no consideration for the fact that I was an exhausted international guest who had already paid in full.
I showed them the booking confirmation and proof of payment, yet I was simply told to “call them.” When I contacted the number provided, it turned out to be their own administration office, which was already aware of my reservation. They agreed to issue a refund, but informed me it would take around 20 days to process. Having a significant amount of money held for that long, especially after a confirmed booking was denied, is extremely inconvenient and concerning for any traveler.
What made the situation more surprising was that I had previously stayed at this hotel for several months, so I expected at least a basic level of recognition or courtesy. Unfortunately, there was no effort to resolve the issue on the spot, no apology, and no attempt to accommodate me in any way. I ultimately had to leave and find alternative lodging on my own.
Overall, the lack of professionalism at reception, poor handling of confirmed reservations, and delayed refund process created a very negative impression. Travelers, especially international visitors, rely heavily on confirmed bookings and clear communication, and this experience fell far below reasonable expectations.</t>
  </si>
  <si>
    <t>2026-02-07T05:31:26.084Z</t>
  </si>
  <si>
    <t>Doctor Umer Kamran</t>
  </si>
  <si>
    <t>Terrible experience. The staff’s behavior was rude, dismissive, and highly unprofessional today. The service quality was unacceptable for a medical workshop setting.
Management seriously needs to focus on hiring trained, educated and competent staff, as well as improving customer interaction and professionalism. Not recommended at all.
Terrible place to organize medical events. Please avoid going there if you don't want to interact with uneducated hotel staff that has 0 level of respect for the guests.</t>
  </si>
  <si>
    <t>2026-05-02T22:19:19.351Z</t>
  </si>
  <si>
    <t>Amin Nassim</t>
  </si>
  <si>
    <t>The stay was acceptable considering the price. But they must use new bed sheets, covers etc. but the staff are respectful. Thanks to Naveed Kashmiri and others.</t>
  </si>
  <si>
    <t>2026-01-17T11:01:38.546Z</t>
  </si>
  <si>
    <t>Bilal Khan</t>
  </si>
  <si>
    <t>We had bad experience because we were there to attend an event, as we reached so it was early so they said you should go to main lobby, when we reached there so they ignored us and not allowed to wait in lobby then we spent around 1 hour and 30 minutes in car parking area. This is very bad</t>
  </si>
  <si>
    <t>2025-11-12T08:50:08.627Z</t>
  </si>
  <si>
    <t>Four Points by Sheraton Lahore</t>
  </si>
  <si>
    <t>25 Egerton Rd, Garhi Shahu, Lahore, 54000, Pakistan</t>
  </si>
  <si>
    <t>+92 42 36310077</t>
  </si>
  <si>
    <t>N/A</t>
  </si>
  <si>
    <t>Śháfee</t>
  </si>
  <si>
    <t>I visited here last time and the person who is here is manager Matthew, his behaviour is not good even they pass a bullish comments I think this is not perfect for this job
Even other serving guy Waqas is excellent polite calm and his behaviour with me perfect even not me I see the with other customers is good too.</t>
  </si>
  <si>
    <t>2026-07-24T04:18:41.258Z</t>
  </si>
  <si>
    <t>Haikal Zainal Abidin</t>
  </si>
  <si>
    <t>I stayed for 4 nights in this hotel. As a bonvoy members, my room being upgraded. Offer me good room but when you arrived in the room.. it is full of dusts.. reached late evening im sure there is ample time to clean the room properly. View it from the photo and video attached. I even requested to housekeeping to clean the room entirely but outcome still the same.
Their hospitality at the lobby and restaurant is good at their service.
During the checkout I just reminded to them regarding the room condition. As this hotel is part of Marriot group and Im one of their loyal members.</t>
  </si>
  <si>
    <t>2026-02-08T15:19:42.334Z</t>
  </si>
  <si>
    <t>Jun Ying</t>
  </si>
  <si>
    <t>For a 4-star hotel, the cleanliness and quality of the duvet and bed sheets were very disappointing. They appeared unhygienic and not properly laundered. We reported the issue to the manager, but were told that nothing could be done as there had already been multiple complaints about the laundry service. This response was concerning and did not reflect the standards expected of a hotel in this category.
Re:Hotel reply
I reported to your front desk manager, he said: "I don't care if you write a review."</t>
  </si>
  <si>
    <t>2026-03-31T00:00:44.591Z</t>
  </si>
  <si>
    <t>Babar Salim Khan</t>
  </si>
  <si>
    <t>Very disappointing experience.
Mr. Ibrar, Director Sales of this hotel, displayed an extremely unprofessional and discourteous attitude. Our guest, a Platinum member, requested access to the business center, which is normally complimentary. He first insisted on extra payment, and when this was declined, abruptly claimed the facility was unavailable and already booked. The interaction was handled poorly and left a very negative impression. This behavior is unacceptable in the hospitality industry. We will neither stay here again nor recommend this hotel to our guests.</t>
  </si>
  <si>
    <t>2026-01-17T05:52:48.040Z</t>
  </si>
  <si>
    <t>john albert</t>
  </si>
  <si>
    <t>“This hotel is an absolute disaster. From the moment you walk in, the smell hits you—like something died, came back, and died again. The staff look like they’re being held hostage, the rooms feel like they haven’t been cleaned since the previous century, and the beds are so uncomfortable you’d sleep better on a bus stop bench. The food? I wouldn’t feed it to a stray dog. If you value your sanity, your sleep, or your health, avoid this place at all costs.</t>
  </si>
  <si>
    <t>2025-12-01T06:09:44.636Z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</si>
</sst>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width="34.7109375" customWidth="1"/>
    <col min="2" max="2" width="56.7109375" customWidth="1"/>
    <col min="3" max="3" width="21.7109375" customWidth="1"/>
    <col min="4" max="4" width="20.7109375" customWidth="1"/>
    <col min="5" max="5" width="16.7109375" customWidth="1"/>
    <col min="6" max="6" width="18.7109375" customWidth="1"/>
    <col min="7" max="7" width="23.7109375" customWidth="1"/>
    <col min="8" max="8" width="15.7109375" customWidth="1"/>
    <col min="9" max="9" width="1952.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f>HYPERLINK("https://www.pchotels.com/hotel-and-resort/pearl-continental-hotel-lahore", "Visit Website")</f>
        <v>0</v>
      </c>
      <c r="F2" s="4">
        <v>4.4</v>
      </c>
      <c r="G2" s="5" t="s">
        <v>16</v>
      </c>
      <c r="H2" s="4">
        <v>1</v>
      </c>
      <c r="I2" s="2" t="s">
        <v>17</v>
      </c>
      <c r="J2" s="4" t="s">
        <v>18</v>
      </c>
      <c r="K2" s="3" t="str">
        <f>HYPERLINK("https://www.google.com/maps/reviews/data=!4m8!14m7!1m6!2m5!1sCi9DQUlRQUNvZENodHljRjlvT25WbFdVcFVPQzF3WjJvMVFUTm1YM3BwYVVNeFUwRRAB!2m1!1s0x0:0xd70a28b88f7720d7!3m1!1s2@1:CAIQACodChtycF9oOnVlWUpUOC1wZ2o1QTNmX3ppaUMxU0E%7C%7C?hl=en", "View Link")</f>
        <v>View Link</v>
      </c>
      <c r="L2" s="3">
        <f>HYPERLINK("https://www.google.com/maps/search/?api=1&amp;query=Pearl%20Continental%20Hotel%2C%20Lahore&amp;query_place_id=ChIJ6adtYMgEGTkR1yB3j7goCtc", "Open Map")</f>
        <v>0</v>
      </c>
    </row>
    <row r="3" spans="1:12" ht="20" customHeight="1">
      <c r="A3" s="2"/>
      <c r="B3" s="2"/>
      <c r="C3" s="2"/>
      <c r="D3" s="2"/>
      <c r="E3" s="3"/>
      <c r="F3" s="4"/>
      <c r="G3" s="5" t="s">
        <v>19</v>
      </c>
      <c r="H3" s="4">
        <v>1</v>
      </c>
      <c r="I3" s="2" t="s">
        <v>20</v>
      </c>
      <c r="J3" s="4" t="s">
        <v>21</v>
      </c>
      <c r="K3" s="3" t="str">
        <f>HYPERLINK("https://www.google.com/maps/reviews/data=!4m8!14m7!1m6!2m5!1sCi9DQUlRQUNvZENodHljRjlvT2kwNVExTklOMXA0VjFkRmNESlVOazlFY2xWdFZVRRAB!2m1!1s0x0:0xd70a28b88f7720d7!3m1!1s2@1:CAIQACodChtycF9oOi05Q1NIN1p4V1dFcDJUNk9EclVtVUE%7C%7C?hl=en",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HYPERLINK("https://www.google.com/maps/reviews/data=!4m8!14m7!1m6!2m5!1sCi9DQUlRQUNvZENodHljRjlvT21oeUxUSmxWVGRSUVRsek9GOXRVMU5EZVRRelgzYxAB!2m1!1s0x0:0xd70a28b88f7720d7!3m1!1s2@1:CAIQACodChtycF9oOmhyLTJlVTdRQTlzOF9tU1NDeTQzX3c%7C%7C?hl=en",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HYPERLINK("https://www.google.com/maps/reviews/data=!4m8!14m7!1m6!2m5!1sCi9DQUlRQUNvZENodHljRjlvT2tsVGNsWllWVkJLV1hKbGNuUlVUakZuV0dKaFVGRRAB!2m1!1s0x0:0xd70a28b88f7720d7!3m1!1s2@1:CAIQACodChtycF9oOklTclZYVVBKWXJlcnRUTjFnWGJhUFE%7C%7C?hl=en", "View Link")</f>
        <v>View Link</v>
      </c>
      <c r="L5" s="3"/>
    </row>
    <row r="6" spans="1:12" ht="20" customHeight="1">
      <c r="A6" s="2"/>
      <c r="B6" s="2"/>
      <c r="C6" s="2"/>
      <c r="D6" s="2"/>
      <c r="E6" s="3"/>
      <c r="F6" s="4"/>
      <c r="G6" s="5" t="s">
        <v>28</v>
      </c>
      <c r="H6" s="4">
        <v>1</v>
      </c>
      <c r="I6" s="2" t="s">
        <v>29</v>
      </c>
      <c r="J6" s="4" t="s">
        <v>30</v>
      </c>
      <c r="K6" s="3" t="str">
        <f>HYPERLINK("https://www.google.com/maps/reviews/data=!4m8!14m7!1m6!2m5!1sCi9DQUlRQUNvZENodHljRjlvT2pJMlExZHJiM2hVZW10Q1FtNDJWVzF6U1ZONWMxRRAB!2m1!1s0x0:0xd70a28b88f7720d7!3m1!1s2@1:CAIQACodChtycF9oOjI2Q1drb3hUemtCQm42VW1zSVN5c1E%7C%7C?hl=en", "View Link")</f>
        <v>View Link</v>
      </c>
      <c r="L6" s="3"/>
    </row>
    <row r="7" spans="1:12" ht="20" customHeight="1">
      <c r="A7" s="2" t="s">
        <v>31</v>
      </c>
      <c r="B7" s="2" t="s">
        <v>32</v>
      </c>
      <c r="C7" s="2" t="s">
        <v>33</v>
      </c>
      <c r="D7" s="2" t="s">
        <v>34</v>
      </c>
      <c r="E7" s="3">
        <f>HYPERLINK("https://falettishotel.com.pk/", "Visit Website")</f>
        <v>0</v>
      </c>
      <c r="F7" s="4">
        <v>4.3</v>
      </c>
      <c r="G7" s="5" t="s">
        <v>35</v>
      </c>
      <c r="H7" s="4">
        <v>1</v>
      </c>
      <c r="I7" s="2" t="s">
        <v>36</v>
      </c>
      <c r="J7" s="4" t="s">
        <v>37</v>
      </c>
      <c r="K7" s="3" t="str">
        <f>HYPERLINK("https://www.google.com/maps/reviews/data=!4m8!14m7!1m6!2m5!1sCi9DQUlRQUNvZENodHljRjlvT2tOcVF6SXRjemRUYVdWNlQzTXpjbFZHYnkxbFQzYxAB!2m1!1s0x0:0xd43a04f03d30963f!3m1!1s2@1:CAIQACodChtycF9oOkNqQzItczdTaWV6T3MzclVGby1lT3c%7C%7C?hl=en", "View Link")</f>
        <v>View Link</v>
      </c>
      <c r="L7" s="3">
        <f>HYPERLINK("https://www.google.com/maps/search/?api=1&amp;query=Faletti's%20Hotel%20Lahore&amp;query_place_id=ChIJKzuZt0wbGTkRP5YwPfAEOtQ", "Open Map")</f>
        <v>0</v>
      </c>
    </row>
    <row r="8" spans="1:12" ht="20" customHeight="1">
      <c r="A8" s="2"/>
      <c r="B8" s="2"/>
      <c r="C8" s="2"/>
      <c r="D8" s="2"/>
      <c r="E8" s="3"/>
      <c r="F8" s="4"/>
      <c r="G8" s="5" t="s">
        <v>38</v>
      </c>
      <c r="H8" s="4">
        <v>1</v>
      </c>
      <c r="I8" s="2" t="s">
        <v>39</v>
      </c>
      <c r="J8" s="4" t="s">
        <v>40</v>
      </c>
      <c r="K8" s="3" t="str">
        <f>HYPERLINK("https://www.google.com/maps/reviews/data=!4m8!14m7!1m6!2m5!1sCi9DQUlRQUNvZENodHljRjlvT2paTE4xTndOak4wVEcxUk1tNWhNa2xHYVdSeE1HYxAB!2m1!1s0x0:0xd43a04f03d30963f!3m1!1s2@1:CAIQACodChtycF9oOjZLN1NwNjN0TG1RMm5hMklGaWRxMGc%7C%7C?hl=en", "View Link")</f>
        <v>View Link</v>
      </c>
      <c r="L8" s="3"/>
    </row>
    <row r="9" spans="1:12" ht="20" customHeight="1">
      <c r="A9" s="2"/>
      <c r="B9" s="2"/>
      <c r="C9" s="2"/>
      <c r="D9" s="2"/>
      <c r="E9" s="3"/>
      <c r="F9" s="4"/>
      <c r="G9" s="5" t="s">
        <v>41</v>
      </c>
      <c r="H9" s="4">
        <v>1</v>
      </c>
      <c r="I9" s="2" t="s">
        <v>42</v>
      </c>
      <c r="J9" s="4" t="s">
        <v>43</v>
      </c>
      <c r="K9" s="3" t="str">
        <f>HYPERLINK("https://www.google.com/maps/reviews/data=!4m8!14m7!1m6!2m5!1sCi9DQUlRQUNvZENodHljRjlvT25GS2MyWmxiMU5aZG5keFZGaDJNbU5UY0ZsSVNVRRAB!2m1!1s0x0:0xd43a04f03d30963f!3m1!1s2@1:CAIQACodChtycF9oOnFKc2Zlb1NZdndxVFh2MmNTcFlISUE%7C%7C?hl=en", "View Link")</f>
        <v>View Link</v>
      </c>
      <c r="L9" s="3"/>
    </row>
    <row r="10" spans="1:12" ht="20" customHeight="1">
      <c r="A10" s="2"/>
      <c r="B10" s="2"/>
      <c r="C10" s="2"/>
      <c r="D10" s="2"/>
      <c r="E10" s="3"/>
      <c r="F10" s="4"/>
      <c r="G10" s="5" t="s">
        <v>44</v>
      </c>
      <c r="H10" s="4">
        <v>1</v>
      </c>
      <c r="I10" s="2" t="s">
        <v>45</v>
      </c>
      <c r="J10" s="4" t="s">
        <v>46</v>
      </c>
      <c r="K10" s="3" t="str">
        <f>HYPERLINK("https://www.google.com/maps/reviews/data=!4m8!14m7!1m6!2m5!1sCi9DQUlRQUNvZENodHljRjlvT2xSM05EaFpSRFZRVFhod1NYbE5VVGhrUjBWWVVtYxAB!2m1!1s0x0:0xd43a04f03d30963f!3m1!1s2@1:CAIQACodChtycF9oOlR3NDhZRDVQTXhwSXlNUThkR0VYUmc%7C%7C?hl=en", "View Link")</f>
        <v>View Link</v>
      </c>
      <c r="L10" s="3"/>
    </row>
    <row r="11" spans="1:12" ht="20" customHeight="1">
      <c r="A11" s="2"/>
      <c r="B11" s="2"/>
      <c r="C11" s="2"/>
      <c r="D11" s="2"/>
      <c r="E11" s="3"/>
      <c r="F11" s="4"/>
      <c r="G11" s="5" t="s">
        <v>47</v>
      </c>
      <c r="H11" s="4">
        <v>1</v>
      </c>
      <c r="I11" s="2" t="s">
        <v>48</v>
      </c>
      <c r="J11" s="4" t="s">
        <v>49</v>
      </c>
      <c r="K11" s="3" t="str">
        <f>HYPERLINK("https://www.google.com/maps/reviews/data=!4m8!14m7!1m6!2m5!1sCi9DQUlRQUNvZENodHljRjlvT2pSSU9EaHdWekpWTlRoM1JFbFZSVXR5UjI5Mk5tYxAB!2m1!1s0x0:0xd43a04f03d30963f!3m1!1s2@1:CAIQACodChtycF9oOjRIODhwVzJVNTh3RElVRUtyR292Nmc%7C%7C?hl=en", "View Link")</f>
        <v>View Link</v>
      </c>
      <c r="L11" s="3"/>
    </row>
    <row r="12" spans="1:12" ht="20" customHeight="1">
      <c r="A12" s="2" t="s">
        <v>50</v>
      </c>
      <c r="B12" s="2" t="s">
        <v>51</v>
      </c>
      <c r="C12" s="2" t="s">
        <v>52</v>
      </c>
      <c r="D12" s="2" t="s">
        <v>53</v>
      </c>
      <c r="E12" s="3">
        <f>HYPERLINK("https://www.marriott.com/en-us/hotels/lhefp-four-points-lahore/overview/?scid=f2ae0541-1279-4f24-b197-a979c79310b0", "Visit Website")</f>
        <v>0</v>
      </c>
      <c r="F12" s="4">
        <v>4.3</v>
      </c>
      <c r="G12" s="5" t="s">
        <v>54</v>
      </c>
      <c r="H12" s="4">
        <v>1</v>
      </c>
      <c r="I12" s="2" t="s">
        <v>55</v>
      </c>
      <c r="J12" s="4" t="s">
        <v>56</v>
      </c>
      <c r="K12" s="3" t="str">
        <f>HYPERLINK("https://www.google.com/maps/reviews/data=!4m8!14m7!1m6!2m5!1sCi9DQUlRQUNvZENodHljRjlvT25WWWVHVm9kVUpNUjNNdFFYaHpaMGxHU25kbU9FRRAB!2m1!1s0x0:0x1f8ab0dc94f91a6d!3m1!1s2@1:CAIQACodChtycF9oOnVYeGVodUJMR3MtQXhzZ0lGSndmOEE%7C%7C?hl=en", "View Link")</f>
        <v>View Link</v>
      </c>
      <c r="L12" s="3">
        <f>HYPERLINK("https://www.google.com/maps/search/?api=1&amp;query=Four%20Points%20by%20Sheraton%20Lahore&amp;query_place_id=ChIJVz2ZVEsbGTkRbRr5lNywih8", "Open Map")</f>
        <v>0</v>
      </c>
    </row>
    <row r="13" spans="1:12" ht="20" customHeight="1">
      <c r="A13" s="2"/>
      <c r="B13" s="2"/>
      <c r="C13" s="2"/>
      <c r="D13" s="2"/>
      <c r="E13" s="3"/>
      <c r="F13" s="4"/>
      <c r="G13" s="5" t="s">
        <v>57</v>
      </c>
      <c r="H13" s="4">
        <v>1</v>
      </c>
      <c r="I13" s="2" t="s">
        <v>58</v>
      </c>
      <c r="J13" s="4" t="s">
        <v>59</v>
      </c>
      <c r="K13" s="3" t="str">
        <f>HYPERLINK("https://www.google.com/maps/reviews/data=!4m8!14m7!1m6!2m5!1sCi9DQUlRQUNvZENodHljRjlvT21OTFYzZENRMlJtUWw5RGJXWkZlbE5UTURGS1MwRRAB!2m1!1s0x0:0x1f8ab0dc94f91a6d!3m1!1s2@1:CAIQACodChtycF9oOmNLV3dCQ2RmQl9DbWZFelNTMDFKS0E%7C%7C?hl=en", "View Link")</f>
        <v>View Link</v>
      </c>
      <c r="L13" s="3"/>
    </row>
    <row r="14" spans="1:12" ht="20" customHeight="1">
      <c r="A14" s="2"/>
      <c r="B14" s="2"/>
      <c r="C14" s="2"/>
      <c r="D14" s="2"/>
      <c r="E14" s="3"/>
      <c r="F14" s="4"/>
      <c r="G14" s="5" t="s">
        <v>60</v>
      </c>
      <c r="H14" s="4">
        <v>1</v>
      </c>
      <c r="I14" s="2" t="s">
        <v>61</v>
      </c>
      <c r="J14" s="4" t="s">
        <v>62</v>
      </c>
      <c r="K14" s="3" t="str">
        <f>HYPERLINK("https://www.google.com/maps/reviews/data=!4m8!14m7!1m6!2m5!1sCi9DQUlRQUNvZENodHljRjlvT2xoM1VFeE1WMFJ4TFVzdGVuZFZPV2hIUlRWRFdrRRAB!2m1!1s0x0:0x1f8ab0dc94f91a6d!3m1!1s2@1:CAIQACodChtycF9oOlh3UExMV0RxLUstendVOWhHRTVDWkE%7C%7C?hl=en", "View Link")</f>
        <v>View Link</v>
      </c>
      <c r="L14" s="3"/>
    </row>
    <row r="15" spans="1:12" ht="20" customHeight="1">
      <c r="A15" s="2"/>
      <c r="B15" s="2"/>
      <c r="C15" s="2"/>
      <c r="D15" s="2"/>
      <c r="E15" s="3"/>
      <c r="F15" s="4"/>
      <c r="G15" s="5" t="s">
        <v>63</v>
      </c>
      <c r="H15" s="4">
        <v>1</v>
      </c>
      <c r="I15" s="2" t="s">
        <v>64</v>
      </c>
      <c r="J15" s="4" t="s">
        <v>65</v>
      </c>
      <c r="K15" s="3" t="str">
        <f>HYPERLINK("https://www.google.com/maps/reviews/data=!4m8!14m7!1m6!2m5!1sCi9DQUlRQUNvZENodHljRjlvT2psVFNUUXpPWGwyYkdOdlJsbE1OMGw0YVhCaWFsRRAB!2m1!1s0x0:0x1f8ab0dc94f91a6d!3m1!1s2@1:CAIQACodChtycF9oOjlTSTQzOXl2bGNvRllMN0l4aXBialE%7C%7C?hl=en", "View Link")</f>
        <v>View Link</v>
      </c>
      <c r="L15" s="3"/>
    </row>
    <row r="16" spans="1:12" ht="20" customHeight="1">
      <c r="A16" s="2"/>
      <c r="B16" s="2"/>
      <c r="C16" s="2"/>
      <c r="D16" s="2"/>
      <c r="E16" s="3"/>
      <c r="F16" s="4"/>
      <c r="G16" s="5" t="s">
        <v>66</v>
      </c>
      <c r="H16" s="4">
        <v>1</v>
      </c>
      <c r="I16" s="2" t="s">
        <v>67</v>
      </c>
      <c r="J16" s="4" t="s">
        <v>68</v>
      </c>
      <c r="K16" s="3" t="str">
        <f>HYPERLINK("https://www.google.com/maps/reviews/data=!4m8!14m7!1m6!2m5!1sCi9DQUlRQUNvZENodHljRjlvT2tKT2FVdzVPSE42TjJobVVFdHNNbWN6VWxCamRYYxAB!2m1!1s0x0:0x1f8ab0dc94f91a6d!3m1!1s2@1:CAIQACodChtycF9oOkJOaUw5OHN6N2hmUEtsMmczUlBjdXc%7C%7C?hl=en", "View Link")</f>
        <v>View Link</v>
      </c>
      <c r="L16" s="3"/>
    </row>
  </sheetData>
  <mergeCells count="21">
    <mergeCell ref="A2:A6"/>
    <mergeCell ref="B2:B6"/>
    <mergeCell ref="C2:C6"/>
    <mergeCell ref="D2:D6"/>
    <mergeCell ref="E2:E6"/>
    <mergeCell ref="F2:F6"/>
    <mergeCell ref="L2:L6"/>
    <mergeCell ref="A7:A11"/>
    <mergeCell ref="B7:B11"/>
    <mergeCell ref="C7:C11"/>
    <mergeCell ref="D7:D11"/>
    <mergeCell ref="E7:E11"/>
    <mergeCell ref="F7:F11"/>
    <mergeCell ref="L7:L11"/>
    <mergeCell ref="A12:A16"/>
    <mergeCell ref="B12:B16"/>
    <mergeCell ref="C12:C16"/>
    <mergeCell ref="D12:D16"/>
    <mergeCell ref="E12:E16"/>
    <mergeCell ref="F12:F16"/>
    <mergeCell ref="L12:L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2026-08-10T09:04:22Z</dcterms:created>
  <dcterms:modified xsi:type="dcterms:W3CDTF">2026-08-10T09:04:22Z</dcterms:modified>
</cp:coreProperties>
</file>