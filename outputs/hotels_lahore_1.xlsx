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<sst xmlns="http://schemas.openxmlformats.org/spreadsheetml/2006/main" count="43" uniqueCount="27">
  <si>
    <t>Business Name</t>
  </si>
  <si>
    <t>Address</t>
  </si>
  <si>
    <t>Phone</t>
  </si>
  <si>
    <t>Email</t>
  </si>
  <si>
    <t>Business Rating</t>
  </si>
  <si>
    <t>Reviewer Name</t>
  </si>
  <si>
    <t>Review Stars</t>
  </si>
  <si>
    <t>Review Text</t>
  </si>
  <si>
    <t>Review Date</t>
  </si>
  <si>
    <t>Review Link</t>
  </si>
  <si>
    <t>Business Maps Link</t>
  </si>
  <si>
    <t>Pearl Continental Hotel, Lahore</t>
  </si>
  <si>
    <t>Shahrah-e-Quaid-e-Azam, Garhi Shahu, Lahore, Pakistan</t>
  </si>
  <si>
    <t>+92 42 111 505 505</t>
  </si>
  <si>
    <t>pchk@pchotels.com</t>
  </si>
  <si>
    <t>딱콩이</t>
  </si>
  <si>
    <t>​I absolutely do not recommend this hotel. If you are a foreigner, I strongly advise against staying here.
While the PC Hotel is said to have a rich heritage in Pakistan, the behavior of some staff members is highly problematic.
​1. Unacceptable Service and Responsiveness
Requesting basic amenities like towels or bottled water takes at least a full day. Even after calling multiple times, they routinely promise it will arrive "in 5 minutes," yet nothing shows up by the next day. Going down to the reception to complain in person yields the exact same result—they simply claim they will inform the staff, and the items still don't arrive for days. They fail to respond to any requests, not just basic amenities. To make matters worse, some staff members even openly mocked and laughed at me as a foreigner.
​2. Financial Misconduct during Currency Exchange
When exchanging money, the staff did not return the correct change, claiming they "didn't have enough cash." When I demanded the remaining amount, they promised to deliver it to my room but never did. It strongly appears that the employees are pocketing guests' money this way.
The relevant department needs to thoroughly retrain their staff and take this matter seriously instead of brushing it off.
To anyone considering booking this hotel: I absolutely, under no circumstances, recommend this place.</t>
  </si>
  <si>
    <t>2026-05-16T18:32:21.896Z</t>
  </si>
  <si>
    <t>Malik Waqas</t>
  </si>
  <si>
    <t>My recent stay at PC Hotel Lahore was extremely disappointing and far below the standard expected from a luxury hotel.
The room was outdated, poorly maintained, and not properly cleaned. The carpet was visibly dirty, making the room feel unhygienic. The TV setup was old-fashioned with an outdated cabinet, there was no Smart TV to enjoy Netflix or YouTube, and most TV channels were either unavailable or not working. There was virtually no in-room entertainment.
The service was equally disappointing. Although the official check-in time is 2:00 PM, we arrived around 4:00 PM and were still asked to wait for almost an hour because the room was "not ready." This is unacceptable for a hotel of this reputation.
PC Hotel Lahore seriously needs major renovations, better housekeeping, improved customer service, and a more efficient check-in process.
Unfortunately, this stay was not worth the money, and it affected our leisure time. I hope the management takes these issues seriously and improves the overall guest experience.</t>
  </si>
  <si>
    <t>2026-07-06T10:48:14.240Z</t>
  </si>
  <si>
    <t>sha attique</t>
  </si>
  <si>
    <t>We were very disappointed with our stay at PC. The service did not meet the standards we expected. The room was not properly maintained, several issues were not resolved despite informing the staff, and the overall experience was stressful rather than comfortable. We expected much better hospitality and professionalism from a hotel of this reputation. Unfortunately, our stay did not provide good value for the price we paid.</t>
  </si>
  <si>
    <t>2026-07-11T20:50:56.956Z</t>
  </si>
  <si>
    <t>Shumaila Jawed</t>
  </si>
  <si>
    <t>Oh my God it was such a disappointment as soon as we got into rooms hallway… dingy, bad lighting,smelly stinky like a 2 star hotel, dirty carpet with baby lizards on floor. Due to seepage hallway had a distinct smell.
AC doesn’t work, it’s centrally controlled so it’s too hot for me at night effecting my sleep.
Rooms are outdated , carpets are dirty and have stains, room sofas are uncomfortable. Wardrobe is horrible.. refrigerator dirty.. (pic attached)
Room doors damaged(pic attached)
The toiletries aren’t 5* quality, usually you have decent amenities. so it feels a very big, old 3-4* hotel based on cleanliness and products. Entrance too long
Wouldn’t stay again.</t>
  </si>
  <si>
    <t>2026-07-12T20:29:04.242Z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</si>
</sst>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cols>
    <col min="1" max="1" width="34.7109375" customWidth="1"/>
    <col min="2" max="2" width="56.7109375" customWidth="1"/>
    <col min="3" max="3" width="21.7109375" customWidth="1"/>
    <col min="4" max="4" width="20.7109375" customWidth="1"/>
    <col min="5" max="5" width="18.7109375" customWidth="1"/>
    <col min="6" max="6" width="17.7109375" customWidth="1"/>
    <col min="7" max="7" width="15.7109375" customWidth="1"/>
    <col min="8" max="8" width="1370.7109375" customWidth="1"/>
    <col min="9" max="9" width="27.7109375" customWidth="1"/>
    <col min="10" max="10" width="14.7109375" customWidth="1"/>
    <col min="11" max="11" width="21.7109375" customWidth="1"/>
  </cols>
  <sheetData>
    <row r="1" spans="1:11" ht="26" customHeight="1">
      <c r="A1" s="1" t="s">
        <v>0</v>
      </c>
      <c r="B1" s="1" t="s">
        <v>1</v>
      </c>
      <c r="C1" s="1" t="s">
        <v>2</v>
      </c>
      <c r="D1" s="1" t="s">
        <v>3</v>
      </c>
      <c r="E1" s="1" t="s">
        <v>4</v>
      </c>
      <c r="F1" s="1" t="s">
        <v>5</v>
      </c>
      <c r="G1" s="1" t="s">
        <v>6</v>
      </c>
      <c r="H1" s="1" t="s">
        <v>7</v>
      </c>
      <c r="I1" s="1" t="s">
        <v>8</v>
      </c>
      <c r="J1" s="1" t="s">
        <v>9</v>
      </c>
      <c r="K1" s="1" t="s">
        <v>10</v>
      </c>
    </row>
    <row r="2" spans="1:11" ht="20" customHeight="1">
      <c r="A2" s="2" t="s">
        <v>11</v>
      </c>
      <c r="B2" s="2" t="s">
        <v>12</v>
      </c>
      <c r="C2" s="2" t="s">
        <v>13</v>
      </c>
      <c r="D2" s="2" t="s">
        <v>14</v>
      </c>
      <c r="E2" s="3">
        <v>4.4</v>
      </c>
      <c r="F2" s="4" t="s">
        <v>15</v>
      </c>
      <c r="G2" s="3">
        <v>1</v>
      </c>
      <c r="H2" s="2" t="s">
        <v>16</v>
      </c>
      <c r="I2" s="3" t="s">
        <v>17</v>
      </c>
      <c r="J2" s="5" t="str">
        <f>HYPERLINK("https://www.google.com/maps/reviews/data=!4m8!14m7!1m6!2m5!1sCi9DQUlRQUNvZENodHljRjlvT25WbFdVcFVPQzF3WjJvMVFUTm1YM3BwYVVNeFUwRRAB!2m1!1s0x0:0xd70a28b88f7720d7!3m1!1s2@1:CAIQACodChtycF9oOnVlWUpUOC1wZ2o1QTNmX3ppaUMxU0E%7C%7C?hl=en", "View Link")</f>
        <v>View Link</v>
      </c>
      <c r="K2" s="5">
        <f>HYPERLINK("https://www.google.com/maps/search/?api=1&amp;query=Pearl%20Continental%20Hotel%2C%20Lahore&amp;query_place_id=ChIJ6adtYMgEGTkR1yB3j7goCtc", "Open Map")</f>
        <v>0</v>
      </c>
    </row>
    <row r="3" spans="1:11" ht="20" customHeight="1">
      <c r="A3" s="2"/>
      <c r="B3" s="2"/>
      <c r="C3" s="2"/>
      <c r="D3" s="2"/>
      <c r="E3" s="3"/>
      <c r="F3" s="4" t="s">
        <v>18</v>
      </c>
      <c r="G3" s="3">
        <v>1</v>
      </c>
      <c r="H3" s="2" t="s">
        <v>19</v>
      </c>
      <c r="I3" s="3" t="s">
        <v>20</v>
      </c>
      <c r="J3" s="5" t="str">
        <f>HYPERLINK("https://www.google.com/maps/reviews/data=!4m8!14m7!1m6!2m5!1sCi9DQUlRQUNvZENodHljRjlvT21oeUxUSmxWVGRSUVRsek9GOXRVMU5EZVRRelgzYxAB!2m1!1s0x0:0xd70a28b88f7720d7!3m1!1s2@1:CAIQACodChtycF9oOmhyLTJlVTdRQTlzOF9tU1NDeTQzX3c%7C%7C?hl=en", "View Link")</f>
        <v>View Link</v>
      </c>
      <c r="K3" s="5"/>
    </row>
    <row r="4" spans="1:11" ht="20" customHeight="1">
      <c r="A4" s="2"/>
      <c r="B4" s="2"/>
      <c r="C4" s="2"/>
      <c r="D4" s="2"/>
      <c r="E4" s="3"/>
      <c r="F4" s="4" t="s">
        <v>21</v>
      </c>
      <c r="G4" s="3">
        <v>1</v>
      </c>
      <c r="H4" s="2" t="s">
        <v>22</v>
      </c>
      <c r="I4" s="3" t="s">
        <v>23</v>
      </c>
      <c r="J4" s="5" t="str">
        <f>HYPERLINK("https://www.google.com/maps/reviews/data=!4m8!14m7!1m6!2m5!1sCi9DQUlRQUNvZENodHljRjlvT2tsVGNsWllWVkJLV1hKbGNuUlVUakZuV0dKaFVGRRAB!2m1!1s0x0:0xd70a28b88f7720d7!3m1!1s2@1:CAIQACodChtycF9oOklTclZYVVBKWXJlcnRUTjFnWGJhUFE%7C%7C?hl=en", "View Link")</f>
        <v>View Link</v>
      </c>
      <c r="K4" s="5"/>
    </row>
    <row r="5" spans="1:11" ht="20" customHeight="1">
      <c r="A5" s="2"/>
      <c r="B5" s="2"/>
      <c r="C5" s="2"/>
      <c r="D5" s="2"/>
      <c r="E5" s="3"/>
      <c r="F5" s="4" t="s">
        <v>24</v>
      </c>
      <c r="G5" s="3">
        <v>1</v>
      </c>
      <c r="H5" s="2" t="s">
        <v>25</v>
      </c>
      <c r="I5" s="3" t="s">
        <v>26</v>
      </c>
      <c r="J5" s="5" t="str">
        <f>HYPERLINK("https://www.google.com/maps/reviews/data=!4m8!14m7!1m6!2m5!1sCi9DQUlRQUNvZENodHljRjlvT2pJMlExZHJiM2hVZW10Q1FtNDJWVzF6U1ZONWMxRRAB!2m1!1s0x0:0xd70a28b88f7720d7!3m1!1s2@1:CAIQACodChtycF9oOjI2Q1drb3hUemtCQm42VW1zSVN5c1E%7C%7C?hl=en", "View Link")</f>
        <v>View Link</v>
      </c>
      <c r="K5" s="5"/>
    </row>
  </sheetData>
  <mergeCells count="6">
    <mergeCell ref="A2:A5"/>
    <mergeCell ref="B2:B5"/>
    <mergeCell ref="C2:C5"/>
    <mergeCell ref="D2:D5"/>
    <mergeCell ref="E2:E5"/>
    <mergeCell ref="K2:K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2026-08-09T21:24:28Z</dcterms:created>
  <dcterms:modified xsi:type="dcterms:W3CDTF">2026-08-09T21:24:28Z</dcterms:modified>
</cp:coreProperties>
</file>