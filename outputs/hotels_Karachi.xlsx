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Negative Reviews" sheetId="1" r:id="rId1"/>
  </sheets>
  <calcPr calcId="124519" fullCalcOnLoad="1"/>
</workbook>
</file>

<file path=xl/sharedStrings.xml><?xml version="1.0" encoding="utf-8"?>
<sst xmlns="http://schemas.openxmlformats.org/spreadsheetml/2006/main" count="81" uniqueCount="43">
  <si>
    <t>Business Name</t>
  </si>
  <si>
    <t>Address</t>
  </si>
  <si>
    <t>Phone</t>
  </si>
  <si>
    <t>Email</t>
  </si>
  <si>
    <t>Website</t>
  </si>
  <si>
    <t>Business Rating</t>
  </si>
  <si>
    <t>Reviewer Name</t>
  </si>
  <si>
    <t>Review Stars</t>
  </si>
  <si>
    <t>Review Text</t>
  </si>
  <si>
    <t>Review Date</t>
  </si>
  <si>
    <t>Review Link</t>
  </si>
  <si>
    <t>Business Maps Link</t>
  </si>
  <si>
    <t>Hotel Second Home</t>
  </si>
  <si>
    <t>W52Q+VV2, Liaquat Ali Khan Rd, Model Colony Block 9 Model Colony, Karachi, 75100, Pakistan</t>
  </si>
  <si>
    <t>+92 331 9999623</t>
  </si>
  <si>
    <t>N/A</t>
  </si>
  <si>
    <t>Syeda Turbiya Taha</t>
  </si>
  <si>
    <t>Worst hotel I've ever visited..
No neatness in the rooms cockroaches were crawling in the room. The washroom was very dirty. The staff was a liar. They kept the air conditioner turned off for the whole day even during the night too..
I'll never ever suggest someone this hotel</t>
  </si>
  <si>
    <t>2024-05-04T21:06:31.757Z</t>
  </si>
  <si>
    <t>MUHAMMAD ISMAIL</t>
  </si>
  <si>
    <t>3rd classs they off the Air Condition breaker and say its load shedding and its a lie because I switched On the breaker by my self soo its a fraud place</t>
  </si>
  <si>
    <t>2020-07-24T17:13:35.154Z</t>
  </si>
  <si>
    <t>rashid shah</t>
  </si>
  <si>
    <t>I think the building is new and clean but the other services is very bad specially Ac are not working properly and landry system is very poor</t>
  </si>
  <si>
    <t>2019-07-25T07:43:55.934Z</t>
  </si>
  <si>
    <t>Majid Khan</t>
  </si>
  <si>
    <t>An ordinarry place to stay in a very busy and an uncomfortable envoirnment.</t>
  </si>
  <si>
    <t>2021-12-24T17:05:08.287Z</t>
  </si>
  <si>
    <t>Karachi Airport Guest House</t>
  </si>
  <si>
    <t>Sindh 74800, Plot 19 Liaquat Ali Khan Rd, near Karachi International Airport, Model Colony Tina Square, Karachi, 74800, Pakistan</t>
  </si>
  <si>
    <t>+92 336 3134043</t>
  </si>
  <si>
    <t>Observer</t>
  </si>
  <si>
    <t>I have very bad experience in all guest houses near to airport. They turn off AC in morning when you are sleeping to save money.
This guest house also do same.
We found cushion un clean. Smell in toilet.
They make interior in good looking.
Receptionist should be in proper dressing and looks clean not with کھلے گریبان
You can't do parking in front of their guest house. They will find parking for you in another street.</t>
  </si>
  <si>
    <t>2026-05-24T17:17:43.427Z</t>
  </si>
  <si>
    <t>Amir javed</t>
  </si>
  <si>
    <t>1★ Review:
Very bad experience. I paid 4500 PKR at check-in, but after shifting to the room I was told there was no electricity, so the AC didn’t work. Even by 1 AM, the power was still not back, although I specifically booked an AC room.
I had traveled from Rawalpindi by train and was extremely tired, but the staff showed no cooperation. After a long argument, they refunded only 2500 PKR and deducted 2000.
The staff was very rude, and there was a lot of noise in the hotel. It didn’t feel like a professional place at all.
Not recommended at all.</t>
  </si>
  <si>
    <t>2026-04-29T04:17:26.718Z</t>
  </si>
  <si>
    <t>Marley Torgerson</t>
  </si>
  <si>
    <t>My Best friend is Pakistani and invited me and my wife to the wedding in Karachi. I’d consider myself a seasoned traveler so I can typically stomach poor quality hotels but this was bad… First of all it’s located in an alleyway on an extremely tight road and to get in the hotel you have to buzz in and go up the stairs that don’t even look like they’re part of it (very unsafe exposed wire). The lobby is just one small room with a bunch of guys sitting around watching TV that hardly speak English. There’s about 5 doors in the lobby that open up to the rooms and when I walked in there I wanted to leave. The walls are covered in a spray can foam and the rooms have a window with a curtain on it that looks into the lobby (feet away from the front desk). The bed was basically a wood box with a sleeping pad on it. Also be careful when you get in bed for bugs, we saw one under the mattress. The bathroom was probably the worst part of it. The toilets were squat toilets and the shower was just a shower-head and a bucket. Also they didn’t have any soap. The worst part of the entire experience though was the hole in the wall in the bathroom that let in cockroaches. So while you’re using the bathroom you see little cockroaches coming in and going out. This is the worst hotel I’ve ever stayed in.</t>
  </si>
  <si>
    <t>2026-04-17T16:41:29.087Z</t>
  </si>
  <si>
    <t>Waqas Saeed</t>
  </si>
  <si>
    <t>Rooms are not clean and they charge for 2 room but provide only one because we book room online but when we reached according to them only one is available</t>
  </si>
  <si>
    <t>2026-02-01T12:29:23.232Z</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</si>
</sst>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rgb="FF0000FF"/>
      <name val="Calibri"/>
      <family val="2"/>
      <scheme val="minor"/>
    </font>
  </fonts>
  <fills count="3">
    <fill>
      <patternFill patternType="none"/>
    </fill>
    <fill>
      <patternFill patternType="gray125"/>
    </fill>
    <fill>
      <patternFill patternType="solid">
        <fgColor rgb="FFD3D3D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xf>
    <xf numFmtId="0" fontId="0" fillId="0" borderId="0" xfId="0" applyAlignment="1">
      <alignment horizontal="left" vertical="center" wrapText="1"/>
    </xf>
    <xf numFmtId="0" fontId="2"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lef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9"/>
  <sheetViews>
    <sheetView tabSelected="1" workbookViewId="0"/>
  </sheetViews>
  <sheetFormatPr defaultRowHeight="15"/>
  <cols>
    <col min="1" max="1" width="30.7109375" customWidth="1"/>
    <col min="2" max="2" width="131.7109375" customWidth="1"/>
    <col min="3" max="3" width="18.7109375" customWidth="1"/>
    <col min="4" max="4" width="8.7109375" customWidth="1"/>
    <col min="5" max="5" width="16.7109375" customWidth="1"/>
    <col min="6" max="6" width="18.7109375" customWidth="1"/>
    <col min="7" max="7" width="21.7109375" customWidth="1"/>
    <col min="8" max="8" width="15.7109375" customWidth="1"/>
    <col min="9" max="9" width="1305.7109375" customWidth="1"/>
    <col min="10" max="10" width="27.7109375" customWidth="1"/>
    <col min="11" max="11" width="14.7109375" customWidth="1"/>
    <col min="12" max="12" width="21.7109375" customWidth="1"/>
  </cols>
  <sheetData>
    <row r="1" spans="1:12" ht="26" customHeight="1">
      <c r="A1" s="1" t="s">
        <v>0</v>
      </c>
      <c r="B1" s="1" t="s">
        <v>1</v>
      </c>
      <c r="C1" s="1" t="s">
        <v>2</v>
      </c>
      <c r="D1" s="1" t="s">
        <v>3</v>
      </c>
      <c r="E1" s="1" t="s">
        <v>4</v>
      </c>
      <c r="F1" s="1" t="s">
        <v>5</v>
      </c>
      <c r="G1" s="1" t="s">
        <v>6</v>
      </c>
      <c r="H1" s="1" t="s">
        <v>7</v>
      </c>
      <c r="I1" s="1" t="s">
        <v>8</v>
      </c>
      <c r="J1" s="1" t="s">
        <v>9</v>
      </c>
      <c r="K1" s="1" t="s">
        <v>10</v>
      </c>
      <c r="L1" s="1" t="s">
        <v>11</v>
      </c>
    </row>
    <row r="2" spans="1:12" ht="20" customHeight="1">
      <c r="A2" s="2" t="s">
        <v>12</v>
      </c>
      <c r="B2" s="2" t="s">
        <v>13</v>
      </c>
      <c r="C2" s="2" t="s">
        <v>14</v>
      </c>
      <c r="D2" s="2" t="s">
        <v>15</v>
      </c>
      <c r="E2" s="3" t="s">
        <v>15</v>
      </c>
      <c r="F2" s="4">
        <v>4.2</v>
      </c>
      <c r="G2" s="5" t="s">
        <v>16</v>
      </c>
      <c r="H2" s="4">
        <v>1</v>
      </c>
      <c r="I2" s="2" t="s">
        <v>17</v>
      </c>
      <c r="J2" s="4" t="s">
        <v>18</v>
      </c>
      <c r="K2" s="3" t="str">
        <f>HYPERLINK("https://www.google.com/maps/reviews/data=!4m8!14m7!1m6!2m5!1sChZDSUhNMG9nS0VJQ0FnSURqNmZpSGNREAE!2m1!1s0x0:0xdebb399be58bc640!3m1!1s2@1:CIHM0ogKEICAgIDj6fiHcQ%7C%7C?hl=en", "View Link")</f>
        <v>View Link</v>
      </c>
      <c r="L2" s="3">
        <f>HYPERLINK("https://www.google.com/maps/search/?api=1&amp;query=Hotel%20Second%20Home&amp;query_place_id=ChIJ1yap0DI3sz4RQMaL5Zs5u94", "Open Map")</f>
        <v>0</v>
      </c>
    </row>
    <row r="3" spans="1:12" ht="20" customHeight="1">
      <c r="A3" s="2"/>
      <c r="B3" s="2"/>
      <c r="C3" s="2"/>
      <c r="D3" s="2"/>
      <c r="E3" s="3"/>
      <c r="F3" s="4"/>
      <c r="G3" s="5" t="s">
        <v>19</v>
      </c>
      <c r="H3" s="4">
        <v>1</v>
      </c>
      <c r="I3" s="2" t="s">
        <v>20</v>
      </c>
      <c r="J3" s="4" t="s">
        <v>21</v>
      </c>
      <c r="K3" s="3" t="str">
        <f>HYPERLINK("https://www.google.com/maps/reviews/data=!4m8!14m7!1m6!2m5!1sChdDSUhNMG9nS0VJQ0FnSUQ4amU2cDh3RRAB!2m1!1s0x0:0xdebb399be58bc640!3m1!1s2@1:CIHM0ogKEICAgID8je6p8wE%7C%7C?hl=en", "View Link")</f>
        <v>View Link</v>
      </c>
      <c r="L3" s="3"/>
    </row>
    <row r="4" spans="1:12" ht="20" customHeight="1">
      <c r="A4" s="2"/>
      <c r="B4" s="2"/>
      <c r="C4" s="2"/>
      <c r="D4" s="2"/>
      <c r="E4" s="3"/>
      <c r="F4" s="4"/>
      <c r="G4" s="5" t="s">
        <v>22</v>
      </c>
      <c r="H4" s="4">
        <v>1</v>
      </c>
      <c r="I4" s="2" t="s">
        <v>23</v>
      </c>
      <c r="J4" s="4" t="s">
        <v>24</v>
      </c>
      <c r="K4" s="3" t="str">
        <f>HYPERLINK("https://www.google.com/maps/reviews/data=!4m8!14m7!1m6!2m5!1sChdDSUhNMG9nS0VJQ0FnSUNVdnByTW5nRRAB!2m1!1s0x0:0xdebb399be58bc640!3m1!1s2@1:CIHM0ogKEICAgICUvprMngE%7C%7C?hl=en", "View Link")</f>
        <v>View Link</v>
      </c>
      <c r="L4" s="3"/>
    </row>
    <row r="5" spans="1:12" ht="20" customHeight="1">
      <c r="A5" s="2"/>
      <c r="B5" s="2"/>
      <c r="C5" s="2"/>
      <c r="D5" s="2"/>
      <c r="E5" s="3"/>
      <c r="F5" s="4"/>
      <c r="G5" s="5" t="s">
        <v>25</v>
      </c>
      <c r="H5" s="4">
        <v>1</v>
      </c>
      <c r="I5" s="2" t="s">
        <v>26</v>
      </c>
      <c r="J5" s="4" t="s">
        <v>27</v>
      </c>
      <c r="K5" s="3" t="str">
        <f>HYPERLINK("https://www.google.com/maps/reviews/data=!4m8!14m7!1m6!2m5!1sChdDSUhNMG9nS0VJQ0FnSUNtcXBUbzZBRRAB!2m1!1s0x0:0xdebb399be58bc640!3m1!1s2@1:CIHM0ogKEICAgICmqpTo6AE%7C%7C?hl=en", "View Link")</f>
        <v>View Link</v>
      </c>
      <c r="L5" s="3"/>
    </row>
    <row r="6" spans="1:12" ht="20" customHeight="1">
      <c r="A6" s="2" t="s">
        <v>28</v>
      </c>
      <c r="B6" s="2" t="s">
        <v>29</v>
      </c>
      <c r="C6" s="2" t="s">
        <v>30</v>
      </c>
      <c r="D6" s="2" t="s">
        <v>15</v>
      </c>
      <c r="E6" s="3">
        <f>HYPERLINK("https://www.booking.com/Share-Niqtd3", "Visit Website")</f>
        <v>0</v>
      </c>
      <c r="F6" s="4">
        <v>3.8</v>
      </c>
      <c r="G6" s="5" t="s">
        <v>31</v>
      </c>
      <c r="H6" s="4">
        <v>1</v>
      </c>
      <c r="I6" s="2" t="s">
        <v>32</v>
      </c>
      <c r="J6" s="4" t="s">
        <v>33</v>
      </c>
      <c r="K6" s="3" t="str">
        <f>HYPERLINK("https://www.google.com/maps/reviews/data=!4m8!14m7!1m6!2m5!1sCi9DQUlRQUNvZENodHljRjlvT2xOT1oyVnNObDk0ZEd4dU4xTnhZV3BZUTFWcU4xRRAB!2m1!1s0x0:0xeb21b83400e95e0f!3m1!1s2@1:CAIQACodChtycF9oOlNOZ2VsNl94dGxuN1NxYWpYQ1VqN1E%7C%7C?hl=en", "View Link")</f>
        <v>View Link</v>
      </c>
      <c r="L6" s="3">
        <f>HYPERLINK("https://www.google.com/maps/search/?api=1&amp;query=Karachi%20Airport%20Guest%20House&amp;query_place_id=ChIJdbQ_8tA5sz4RD17pADS4Ies", "Open Map")</f>
        <v>0</v>
      </c>
    </row>
    <row r="7" spans="1:12" ht="20" customHeight="1">
      <c r="A7" s="2"/>
      <c r="B7" s="2"/>
      <c r="C7" s="2"/>
      <c r="D7" s="2"/>
      <c r="E7" s="3"/>
      <c r="F7" s="4"/>
      <c r="G7" s="5" t="s">
        <v>34</v>
      </c>
      <c r="H7" s="4">
        <v>1</v>
      </c>
      <c r="I7" s="2" t="s">
        <v>35</v>
      </c>
      <c r="J7" s="4" t="s">
        <v>36</v>
      </c>
      <c r="K7" s="3" t="str">
        <f>HYPERLINK("https://www.google.com/maps/reviews/data=!4m8!14m7!1m6!2m5!1sCi9DQUlRQUNvZENodHljRjlvT2tGdGIxQnNUVEJoWm5CYVJIZG1NbFl0ZVVKeGNYYxAB!2m1!1s0x0:0xeb21b83400e95e0f!3m1!1s2@1:CAIQACodChtycF9oOkFtb1BsTTBhZnBaRHdmMlYteUJxcXc%7C%7C?hl=en", "View Link")</f>
        <v>View Link</v>
      </c>
      <c r="L7" s="3"/>
    </row>
    <row r="8" spans="1:12" ht="20" customHeight="1">
      <c r="A8" s="2"/>
      <c r="B8" s="2"/>
      <c r="C8" s="2"/>
      <c r="D8" s="2"/>
      <c r="E8" s="3"/>
      <c r="F8" s="4"/>
      <c r="G8" s="5" t="s">
        <v>37</v>
      </c>
      <c r="H8" s="4">
        <v>1</v>
      </c>
      <c r="I8" s="2" t="s">
        <v>38</v>
      </c>
      <c r="J8" s="4" t="s">
        <v>39</v>
      </c>
      <c r="K8" s="3" t="str">
        <f>HYPERLINK("https://www.google.com/maps/reviews/data=!4m8!14m7!1m6!2m5!1sCi9DQUlRQUNvZENodHljRjlvT210NlZXMWhaMmMzVGtaMVVrazNTRWhhUlc5NmIwRRAB!2m1!1s0x0:0xeb21b83400e95e0f!3m1!1s2@1:CAIQACodChtycF9oOmt6VW1hZ2c3TkZ1Ukk3SEhaRW96b0E%7C%7C?hl=en", "View Link")</f>
        <v>View Link</v>
      </c>
      <c r="L8" s="3"/>
    </row>
    <row r="9" spans="1:12" ht="20" customHeight="1">
      <c r="A9" s="2"/>
      <c r="B9" s="2"/>
      <c r="C9" s="2"/>
      <c r="D9" s="2"/>
      <c r="E9" s="3"/>
      <c r="F9" s="4"/>
      <c r="G9" s="5" t="s">
        <v>40</v>
      </c>
      <c r="H9" s="4">
        <v>1</v>
      </c>
      <c r="I9" s="2" t="s">
        <v>41</v>
      </c>
      <c r="J9" s="4" t="s">
        <v>42</v>
      </c>
      <c r="K9" s="3" t="str">
        <f>HYPERLINK("https://www.google.com/maps/reviews/data=!4m8!14m7!1m6!2m5!1sCi9DQUlRQUNvZENodHljRjlvT2xwTGNEaFRUemxvVDNsU1RWSmxNV2RyZURGaFRuYxAB!2m1!1s0x0:0xeb21b83400e95e0f!3m1!1s2@1:CAIQACodChtycF9oOlpLcDhTTzloT3lSTVJlMWdreDFhTnc%7C%7C?hl=en", "View Link")</f>
        <v>View Link</v>
      </c>
      <c r="L9" s="3"/>
    </row>
  </sheetData>
  <mergeCells count="14">
    <mergeCell ref="A2:A5"/>
    <mergeCell ref="B2:B5"/>
    <mergeCell ref="C2:C5"/>
    <mergeCell ref="D2:D5"/>
    <mergeCell ref="E2:E5"/>
    <mergeCell ref="F2:F5"/>
    <mergeCell ref="L2:L5"/>
    <mergeCell ref="A6:A9"/>
    <mergeCell ref="B6:B9"/>
    <mergeCell ref="C6:C9"/>
    <mergeCell ref="D6:D9"/>
    <mergeCell ref="E6:E9"/>
    <mergeCell ref="F6:F9"/>
    <mergeCell ref="L6:L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Negative Reviews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2026-08-10T20:07:00Z</dcterms:created>
  <dcterms:modified xsi:type="dcterms:W3CDTF">2026-08-10T20:07:00Z</dcterms:modified>
</cp:coreProperties>
</file>