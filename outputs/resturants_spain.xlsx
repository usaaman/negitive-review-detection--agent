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<sst xmlns="http://schemas.openxmlformats.org/spreadsheetml/2006/main" count="85" uniqueCount="45">
  <si>
    <t>Business Name</t>
  </si>
  <si>
    <t>Address</t>
  </si>
  <si>
    <t>Phone</t>
  </si>
  <si>
    <t>Email</t>
  </si>
  <si>
    <t>Business Rating</t>
  </si>
  <si>
    <t>Reviewer Name</t>
  </si>
  <si>
    <t>Review Stars</t>
  </si>
  <si>
    <t>Review Text</t>
  </si>
  <si>
    <t>Review Date</t>
  </si>
  <si>
    <t>Review Link</t>
  </si>
  <si>
    <t>Business Maps Link</t>
  </si>
  <si>
    <t>Sa Platgeta</t>
  </si>
  <si>
    <t>Spagna Camino de, Carrer de la Ratjada, 3062, 07871, Balearic Islands, Spain</t>
  </si>
  <si>
    <t>+34 971 18 76 14</t>
  </si>
  <si>
    <t>N/A</t>
  </si>
  <si>
    <t>Jan B.</t>
  </si>
  <si>
    <t>Of course no one wants a world where everyone speaks only English, but I dont‘t understand how out off a staff of over 10 people no one speaks anything other than spanish, and is rude while doing that.
Combine this with the absolute lack of discipline and friendlyness, and you have the worst staff you can think of.
We came to have drink. All tables were reserved, as we were aware beforehand,  because it’s Paella day. However half of the tables were still empty (it was midday).
We asked a server (in broken Spanish) if we might sit, drink and take shelter from the rain for 30 minutes. He said yes and pointed to a table. Just 3 minutes later, an aggressive server called Jesus told us to leave the table.
No word in English, but of course, why would one who’s working in hospitality on a touristic island know any other language.
As an aside, the ambience is not enjoyable at all. Plastic chairs and tables, cheap sun umbrellas plastered with ads, and due to the location near a beach with lots of algae through the year, an unpleasant smell all around.</t>
  </si>
  <si>
    <t>2026-05-08T09:20:43.873Z</t>
  </si>
  <si>
    <t>D &amp; E</t>
  </si>
  <si>
    <t>We booked the restaurant because of the reviews and staying around the area. We did not make it until the main course. We sat down &amp; it was only one other person in the restaurant apart from us but took long time to get the waiter attention. Who asked straight (no hello or welcome )do we know what we want? “ when we questioned about the menu he throw the QR code on the table. I was speaking in spanish but seemed like it wasn’t good enough so he changed to english. We ordered a glass of red wine, water &amp; padrón peppers and decided to go to have dinner elsewhere. Peppers were ok but very overpriced. We were just glad to leave and had a lovely time elsewhere with professional service and great food.</t>
  </si>
  <si>
    <t>2021-06-01T17:55:30.877Z</t>
  </si>
  <si>
    <t>T K</t>
  </si>
  <si>
    <t>completely touristic BAD BAD people. They didn't allow a person to throw an empty paper cup because it wasn't purchased from their bar. With this kind of thinking and instead of being happy that someone doesn't leave their garbage on your beach I hope your bar gets to close instead of prolonging these behaviours</t>
  </si>
  <si>
    <t>2021-07-02T16:47:17.838Z</t>
  </si>
  <si>
    <t>Marek Zimolag</t>
  </si>
  <si>
    <t>The worst experience ever , you need to drive there through shi**ty road , park in hilly forest - be careful , then you wait 90 mins for table and additional 50 mins to be served , it’s dirty , it’s so badly organized - you cannot imagine - never ever - stay away</t>
  </si>
  <si>
    <t>2023-04-08T13:59:57.771Z</t>
  </si>
  <si>
    <t>Diego Arroyo</t>
  </si>
  <si>
    <t>Extremely disorganized. It takes forever to get a table and you have to wait really long for the bill and to get their attention in general.  Clearly understaffed. Not what we were expecting.</t>
  </si>
  <si>
    <t>2022-04-17T15:42:16.431Z</t>
  </si>
  <si>
    <t>Danielle S</t>
  </si>
  <si>
    <t>Very long wait for a table and very slow service. Food was ok but not worth the wait</t>
  </si>
  <si>
    <t>2023-04-14T13:30:16.774Z</t>
  </si>
  <si>
    <t>Ciccio Pasticcio</t>
  </si>
  <si>
    <t>Completely disorganized place,good location but overpriced food for nothing special, not recommended at all</t>
  </si>
  <si>
    <t>2023-07-01T21:18:56.430Z</t>
  </si>
  <si>
    <t>Federico Di Giandomenico</t>
  </si>
  <si>
    <t>They kept us waiting for 1 hour and 30 minutes repeating to wait 10 minutes.</t>
  </si>
  <si>
    <t>2023-08-12T13:23:00.767Z</t>
  </si>
  <si>
    <t>Rikytaun</t>
  </si>
  <si>
    <t>Carisimo</t>
  </si>
  <si>
    <t>2023-06-01T19:14:35.671Z</t>
  </si>
  <si>
    <t>Jhoffer Camacho</t>
  </si>
  <si>
    <t>La peor paella de mi vida. Hoy hemos venido a celebrar el cumpleaños de mi esposa y ha sido una cena para olvidar.
Hemos pedido una paella y después de probar 3 bocados hemos sentido qué tenia partes muy saladas, revolvimos, y le dimos una oportunidad, pero estaba muy salada, a punto de qué no se podía comer más, al hablar con los camareros, se la llevaron sin decir nada y entendimos qué la cambiarían o no la cobrarían, o por decencia cómo minimo cobrarían una parte, sin embargo al pedir la cuenta nos hemos llevado una sorpresa aún más desagradable qué la paella, nos cobraban la totalidad de la paella incomestible qué retiraron sin decir palabra alguna.
Amablemente solicitamos a la camarera qué revisara el costo de la paella, ella fue a hablar con el encargado, Carlos, según él, habíamos comido más de la mitad  y debiamos pagarla y ya está. No sé cómo el sr Carlos mide las cantidades de una paella ya servida, revuelta y probada.
Para no hacer más desagradable la experiencia para mi esposa hemos pagado y ya, pero al final nos sentimos estafados, una paella salada, qué se llevaron sin decir una palabra y qué nos cobraron en su totalidad y al explicar y solicitarlo respuestas aún peores.
No sólo no lo recomiendo, recomiendo no ir, nunca, nadie. Qué una comida salga salada le puede pasar hasta al mejor restaurante del mundo, pero qué el encargado de un restaurante ante una situación normal de un plato salado tenga una actitud autoritaria, grosera y desagradable, es una actitud qué debe ser conocida de antemano por cualquier posible cliente, porqué se viene a visitar la isla para tener buenos momentos y no para tener la peor cena de la vida.</t>
  </si>
  <si>
    <t>2025-09-26T21:09:25.224Z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</si>
</sst>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 width="16.7109375" customWidth="1"/>
    <col min="2" max="2" width="79.7109375" customWidth="1"/>
    <col min="3" max="3" width="19.7109375" customWidth="1"/>
    <col min="4" max="4" width="8.7109375" customWidth="1"/>
    <col min="5" max="5" width="18.7109375" customWidth="1"/>
    <col min="6" max="6" width="27.7109375" customWidth="1"/>
    <col min="7" max="7" width="15.7109375" customWidth="1"/>
    <col min="8" max="8" width="1671.7109375" customWidth="1"/>
    <col min="9" max="9" width="27.7109375" customWidth="1"/>
    <col min="10" max="10" width="14.7109375" customWidth="1"/>
    <col min="11" max="11" width="21.7109375" customWidth="1"/>
  </cols>
  <sheetData>
    <row r="1" spans="1:11" ht="26" customHeight="1">
      <c r="A1" s="1" t="s">
        <v>0</v>
      </c>
      <c r="B1" s="1" t="s">
        <v>1</v>
      </c>
      <c r="C1" s="1" t="s">
        <v>2</v>
      </c>
      <c r="D1" s="1" t="s">
        <v>3</v>
      </c>
      <c r="E1" s="1" t="s">
        <v>4</v>
      </c>
      <c r="F1" s="1" t="s">
        <v>5</v>
      </c>
      <c r="G1" s="1" t="s">
        <v>6</v>
      </c>
      <c r="H1" s="1" t="s">
        <v>7</v>
      </c>
      <c r="I1" s="1" t="s">
        <v>8</v>
      </c>
      <c r="J1" s="1" t="s">
        <v>9</v>
      </c>
      <c r="K1" s="1" t="s">
        <v>10</v>
      </c>
    </row>
    <row r="2" spans="1:11" ht="20" customHeight="1">
      <c r="A2" s="2" t="s">
        <v>11</v>
      </c>
      <c r="B2" s="2" t="s">
        <v>12</v>
      </c>
      <c r="C2" s="2" t="s">
        <v>13</v>
      </c>
      <c r="D2" s="2" t="s">
        <v>14</v>
      </c>
      <c r="E2" s="3">
        <v>4.4</v>
      </c>
      <c r="F2" s="4" t="s">
        <v>15</v>
      </c>
      <c r="G2" s="3">
        <v>1</v>
      </c>
      <c r="H2" s="2" t="s">
        <v>16</v>
      </c>
      <c r="I2" s="3" t="s">
        <v>17</v>
      </c>
      <c r="J2" s="5" t="str">
        <f>HYPERLINK("https://www.google.com/maps/reviews/data=!4m8!14m7!1m6!2m5!1sCi9DQUlRQUNvZENodHljRjlvT2pSeGFrVlNkSGR4UlZWaFdtNXBjREJTYmpodFNsRRAB!2m1!1s0x0:0xa276148ba98db432!3m1!1s2@1:CAIQACodChtycF9oOjRxakVSdHdxRVVhWm5pcDBSbjhtSlE%7C%7C?hl=en", "View Link")</f>
        <v>View Link</v>
      </c>
      <c r="K2" s="5">
        <f>HYPERLINK("https://www.google.com/maps/search/?api=1&amp;query=Sa%20Platgeta&amp;query_place_id=ChIJ9-kegNhemRIRMrSNqYsUdqI", "Open Map")</f>
        <v>0</v>
      </c>
    </row>
    <row r="3" spans="1:11" ht="20" customHeight="1">
      <c r="A3" s="2"/>
      <c r="B3" s="2"/>
      <c r="C3" s="2"/>
      <c r="D3" s="2"/>
      <c r="E3" s="3"/>
      <c r="F3" s="4" t="s">
        <v>18</v>
      </c>
      <c r="G3" s="3">
        <v>1</v>
      </c>
      <c r="H3" s="2" t="s">
        <v>19</v>
      </c>
      <c r="I3" s="3" t="s">
        <v>20</v>
      </c>
      <c r="J3" s="5" t="str">
        <f>HYPERLINK("https://www.google.com/maps/reviews/data=!4m8!14m7!1m6!2m5!1sChdDSUhNMG9nS0VJQ0FnSUNxNHFPTjlnRRAB!2m1!1s0x0:0xa276148ba98db432!3m1!1s2@1:CIHM0ogKEICAgICq4qON9gE%7C%7C?hl=en", "View Link")</f>
        <v>View Link</v>
      </c>
      <c r="K3" s="5"/>
    </row>
    <row r="4" spans="1:11" ht="20" customHeight="1">
      <c r="A4" s="2"/>
      <c r="B4" s="2"/>
      <c r="C4" s="2"/>
      <c r="D4" s="2"/>
      <c r="E4" s="3"/>
      <c r="F4" s="4" t="s">
        <v>21</v>
      </c>
      <c r="G4" s="3">
        <v>1</v>
      </c>
      <c r="H4" s="2" t="s">
        <v>22</v>
      </c>
      <c r="I4" s="3" t="s">
        <v>23</v>
      </c>
      <c r="J4" s="5" t="str">
        <f>HYPERLINK("https://www.google.com/maps/reviews/data=!4m8!14m7!1m6!2m5!1sChdDSUhNMG9nS0VJQ0FnSURxZ3ZmVTJ3RRAB!2m1!1s0x0:0xa276148ba98db432!3m1!1s2@1:CIHM0ogKEICAgIDqgvfU2wE%7C%7C?hl=en", "View Link")</f>
        <v>View Link</v>
      </c>
      <c r="K4" s="5"/>
    </row>
    <row r="5" spans="1:11" ht="20" customHeight="1">
      <c r="A5" s="2"/>
      <c r="B5" s="2"/>
      <c r="C5" s="2"/>
      <c r="D5" s="2"/>
      <c r="E5" s="3"/>
      <c r="F5" s="4" t="s">
        <v>24</v>
      </c>
      <c r="G5" s="3">
        <v>1</v>
      </c>
      <c r="H5" s="2" t="s">
        <v>25</v>
      </c>
      <c r="I5" s="3" t="s">
        <v>26</v>
      </c>
      <c r="J5" s="5" t="str">
        <f>HYPERLINK("https://www.google.com/maps/reviews/data=!4m8!14m7!1m6!2m5!1sChdDSUhNMG9nS0VJQ0FnSUNSblkzRndRRRAB!2m1!1s0x0:0xa276148ba98db432!3m1!1s2@1:CIHM0ogKEICAgICRnY3FwQE%7C%7C?hl=en", "View Link")</f>
        <v>View Link</v>
      </c>
      <c r="K5" s="5"/>
    </row>
    <row r="6" spans="1:11" ht="20" customHeight="1">
      <c r="A6" s="2"/>
      <c r="B6" s="2"/>
      <c r="C6" s="2"/>
      <c r="D6" s="2"/>
      <c r="E6" s="3"/>
      <c r="F6" s="4" t="s">
        <v>27</v>
      </c>
      <c r="G6" s="3">
        <v>1</v>
      </c>
      <c r="H6" s="2" t="s">
        <v>28</v>
      </c>
      <c r="I6" s="3" t="s">
        <v>29</v>
      </c>
      <c r="J6" s="5" t="str">
        <f>HYPERLINK("https://www.google.com/maps/reviews/data=!4m8!14m7!1m6!2m5!1sChdDSUhNMG9nS0VJQ0FnSUMyeXI2V2pRRRAB!2m1!1s0x0:0xa276148ba98db432!3m1!1s2@1:CIHM0ogKEICAgIC2yr6WjQE%7C%7C?hl=en", "View Link")</f>
        <v>View Link</v>
      </c>
      <c r="K6" s="5"/>
    </row>
    <row r="7" spans="1:11" ht="20" customHeight="1">
      <c r="A7" s="2"/>
      <c r="B7" s="2"/>
      <c r="C7" s="2"/>
      <c r="D7" s="2"/>
      <c r="E7" s="3"/>
      <c r="F7" s="4" t="s">
        <v>30</v>
      </c>
      <c r="G7" s="3">
        <v>1</v>
      </c>
      <c r="H7" s="2" t="s">
        <v>31</v>
      </c>
      <c r="I7" s="3" t="s">
        <v>32</v>
      </c>
      <c r="J7" s="5" t="str">
        <f>HYPERLINK("https://www.google.com/maps/reviews/data=!4m8!14m7!1m6!2m5!1sChdDSUhNMG9nS0VJQ0FnSUNSdi1tNnZRRRAB!2m1!1s0x0:0xa276148ba98db432!3m1!1s2@1:CIHM0ogKEICAgICRv-m6vQE%7C%7C?hl=en", "View Link")</f>
        <v>View Link</v>
      </c>
      <c r="K7" s="5"/>
    </row>
    <row r="8" spans="1:11" ht="20" customHeight="1">
      <c r="A8" s="2"/>
      <c r="B8" s="2"/>
      <c r="C8" s="2"/>
      <c r="D8" s="2"/>
      <c r="E8" s="3"/>
      <c r="F8" s="4" t="s">
        <v>33</v>
      </c>
      <c r="G8" s="3">
        <v>1</v>
      </c>
      <c r="H8" s="2" t="s">
        <v>34</v>
      </c>
      <c r="I8" s="3" t="s">
        <v>35</v>
      </c>
      <c r="J8" s="5" t="str">
        <f>HYPERLINK("https://www.google.com/maps/reviews/data=!4m8!14m7!1m6!2m5!1sChZDSUhNMG9nS0VJQ0FnSUNKMWRIQ0FnEAE!2m1!1s0x0:0xa276148ba98db432!3m1!1s2@1:CIHM0ogKEICAgICJ1dHCAg%7C%7C?hl=en", "View Link")</f>
        <v>View Link</v>
      </c>
      <c r="K8" s="5"/>
    </row>
    <row r="9" spans="1:11" ht="20" customHeight="1">
      <c r="A9" s="2"/>
      <c r="B9" s="2"/>
      <c r="C9" s="2"/>
      <c r="D9" s="2"/>
      <c r="E9" s="3"/>
      <c r="F9" s="4" t="s">
        <v>36</v>
      </c>
      <c r="G9" s="3">
        <v>1</v>
      </c>
      <c r="H9" s="2" t="s">
        <v>37</v>
      </c>
      <c r="I9" s="3" t="s">
        <v>38</v>
      </c>
      <c r="J9" s="5" t="str">
        <f>HYPERLINK("https://www.google.com/maps/reviews/data=!4m8!14m7!1m6!2m5!1sChZDSUhNMG9nS0VJQ0FnSUNwOS1xOE9BEAE!2m1!1s0x0:0xa276148ba98db432!3m1!1s2@1:CIHM0ogKEICAgICp9-q8OA%7C%7C?hl=en", "View Link")</f>
        <v>View Link</v>
      </c>
      <c r="K9" s="5"/>
    </row>
    <row r="10" spans="1:11" ht="20" customHeight="1">
      <c r="A10" s="2"/>
      <c r="B10" s="2"/>
      <c r="C10" s="2"/>
      <c r="D10" s="2"/>
      <c r="E10" s="3"/>
      <c r="F10" s="4" t="s">
        <v>39</v>
      </c>
      <c r="G10" s="3">
        <v>1</v>
      </c>
      <c r="H10" s="2" t="s">
        <v>40</v>
      </c>
      <c r="I10" s="3" t="s">
        <v>41</v>
      </c>
      <c r="J10" s="5" t="str">
        <f>HYPERLINK("https://www.google.com/maps/reviews/data=!4m8!14m7!1m6!2m5!1sChZDSUhNMG9nS0VJQ0FnSUR4aE9PRUR3EAE!2m1!1s0x0:0xa276148ba98db432!3m1!1s2@1:CIHM0ogKEICAgIDxhOOEDw%7C%7C?hl=en", "View Link")</f>
        <v>View Link</v>
      </c>
      <c r="K10" s="5"/>
    </row>
    <row r="11" spans="1:11" ht="20" customHeight="1">
      <c r="A11" s="2"/>
      <c r="B11" s="2"/>
      <c r="C11" s="2"/>
      <c r="D11" s="2"/>
      <c r="E11" s="3"/>
      <c r="F11" s="4" t="s">
        <v>42</v>
      </c>
      <c r="G11" s="3">
        <v>1</v>
      </c>
      <c r="H11" s="2" t="s">
        <v>43</v>
      </c>
      <c r="I11" s="3" t="s">
        <v>44</v>
      </c>
      <c r="J11" s="5" t="str">
        <f>HYPERLINK("https://www.google.com/maps/reviews/data=!4m8!14m7!1m6!2m5!1sCi9DQUlRQUNvZENodHljRjlvT25WYWN5MUhaWEpQT0ZOT1RXRjJSRzVxVVZCdVlsRRAB!2m1!1s0x0:0xa276148ba98db432!3m1!1s2@1:CAIQACodChtycF9oOnVacy1HZXJPOFNOTWF2RG5qUVBuYlE%7C%7C?hl=en", "View Link")</f>
        <v>View Link</v>
      </c>
      <c r="K11" s="5"/>
    </row>
  </sheetData>
  <mergeCells count="6">
    <mergeCell ref="A2:A11"/>
    <mergeCell ref="B2:B11"/>
    <mergeCell ref="C2:C11"/>
    <mergeCell ref="D2:D11"/>
    <mergeCell ref="E2:E11"/>
    <mergeCell ref="K2:K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2026-08-10T05:50:12Z</dcterms:created>
  <dcterms:modified xsi:type="dcterms:W3CDTF">2026-08-10T05:50:12Z</dcterms:modified>
</cp:coreProperties>
</file>