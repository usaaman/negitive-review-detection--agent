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<sst xmlns="http://schemas.openxmlformats.org/spreadsheetml/2006/main" count="1030" uniqueCount="463">
  <si>
    <t>Business Name</t>
  </si>
  <si>
    <t>Address</t>
  </si>
  <si>
    <t>Phone</t>
  </si>
  <si>
    <t>Email</t>
  </si>
  <si>
    <t>Website</t>
  </si>
  <si>
    <t>Business Rating</t>
  </si>
  <si>
    <t>Reviewer Name</t>
  </si>
  <si>
    <t>Review Stars</t>
  </si>
  <si>
    <t>Review Text</t>
  </si>
  <si>
    <t>Review Date</t>
  </si>
  <si>
    <t>Review Link</t>
  </si>
  <si>
    <t>Business Maps Link</t>
  </si>
  <si>
    <t>The Harley Street Dermatology Clinic</t>
  </si>
  <si>
    <t>35 Devonshire Pl, London W1G 6JP, United Kingdom</t>
  </si>
  <si>
    <t>+44 800 048 9230</t>
  </si>
  <si>
    <t>N/A</t>
  </si>
  <si>
    <t>Gad James</t>
  </si>
  <si>
    <t>I’m quite shocked this is rated so highly. The service I received from this dermatologist has left me feeling scammed. I wish I had checked all the other 1-star reviews before booking, because my experience was similar. My concerns were instantly minimised and dismissed, there was no line of questioning as to why I might have certain conditions, just a ‘what do you want’ and ‘leave the office now’ vibe. Both times I saw the derm I felt rushed, was seen for around 3-4 minutes, and was spoken to as if I was crazy or stupid. Then I got a consultation bill of nearly £200 for no results. Avoid!</t>
  </si>
  <si>
    <t>2026-03-12T16:57:59.964Z</t>
  </si>
  <si>
    <t>Andy S</t>
  </si>
  <si>
    <t>Dermatologist was rude, inconsiderate, not compassionate in terms of manners. He was not informative on the matter throughout, he rushed me through consultation and out the door, he gave me almost no information and just asked if I had any questions (hard to question a condition you don't know). Charged crazy amount for consultation which was cut short by Dermatologist, sent for most expensive prescription without being told a GP can get a reduced to fully paid price reduction for my exact situation rather than costing me £500+ for simple condition. Scam of a place, won't be back.</t>
  </si>
  <si>
    <t>2025-09-01T20:34:07.408Z</t>
  </si>
  <si>
    <t>nicole solovieva</t>
  </si>
  <si>
    <t>I wanted to book in a mole removal, quite a common procedure. Turns out, you can’t directly book a removal, as you need a doctor to look at the moles first. Seems fine, a safety precaution after-all. Yet the “consultation fee is 325 pounds” ( just for someone to look at my moles)!! That is insane!! The removal procedure is extra. Absolute scam.</t>
  </si>
  <si>
    <t>2025-09-03T09:23:28.706Z</t>
  </si>
  <si>
    <t>Anne Bosman</t>
  </si>
  <si>
    <t>I've had 3x appointments with 3x different consultants at this clinic, but every time I left feeling like I'm not taken seriously. There seems little internal communication. I need to chase referrals and when I went for a skin biopsy the surgeon wasn't aware of the actual procedure she had to perform on me as her colleague did not inform her. The consultants always seem in a hurry. They do not take the time to answer questions (instead they repudiate them) or carefully listen, which results in being misinformed about treatments and "new"  information being brought to the table from my end during each different consultation. My concerns, questions and requests for specific treatments are ushered away and I am constantly being told to visit other specialists to look at my skin condition. In short, I am not happy at all. I appreciate my condition may be hard to diagnose, but I feel like the consultants at this clinic don't even try to help.
Updated - The clinic has apologised and asked me to remove my review. I haven't and, as a result, they refuse to treat me at the clinic in the future.</t>
  </si>
  <si>
    <t>2024-12-13T18:50:14.232Z</t>
  </si>
  <si>
    <t>Nyto Bandé</t>
  </si>
  <si>
    <t>I went for a cyst removal wich shows £295 on website..
however as it was infected they advice me to drain it ( wich it was £550 ) plus the £50 of deposit. And they told me that remove it in two weeks will be £820. I paid as they said it was something urgent to treat
The drainage was the most painful experience i had never experienced as they didn’t use any aenesthetic … ( a friend could have it done in my house )
following day i woke up and the pharmacy attendant advise me to go and check the hurt as it was looking bad.
I went to my gp and basically she told me that they could have fixed on spot and they basically cheated me as i didn’t know anything. She recommended me to go Middlesex University Hospital, and after few hours waiting, i have now everything sorted. they also gave me antibiotics..
Conclusion, they just charge me £600 and tried to make me be back to keep charging me…
Wouldn’t trust them for serious matters at all. i recommend you to be pattient and go NHS</t>
  </si>
  <si>
    <t>2024-11-21T16:11:32.253Z</t>
  </si>
  <si>
    <t>Alan Flanagan</t>
  </si>
  <si>
    <t>Not a great place to be honest -- went in for an appointment, all seemed well, quick diagnosis. But when the treatment didn't work I went for a second opinion with an NHS doctor, was told something completely different. To add to that it took me 6 weeks of emailing and phone calls before they would send me my diagnosis from Harley Street. Unresponsive to the point where until I'd threatened them with action did they release my own medical information to me. Avoid.</t>
  </si>
  <si>
    <t>2022-05-30T10:48:05.546Z</t>
  </si>
  <si>
    <t>Joseph Crawford</t>
  </si>
  <si>
    <t>This is a terrible clinic, do not be fooled by 'Harley Street' - they charged me £249 for a 3 minute consultation. My appointment was late, the Doctor barely looked at my condition, and they sent me into another room where I was given beyond ridiculous prices for treatment, including Cryotherapy wart freezing at £449 per session of which I was told I'd need 12-15 sessions or surgery at £1299. A complete scam, and a total waste of time and money today.</t>
  </si>
  <si>
    <t>2023-03-24T15:47:10.926Z</t>
  </si>
  <si>
    <t>Huma wahab</t>
  </si>
  <si>
    <t>Horrible staff, horrible doctor and horrible experience.  We booked with Dr. Laura Proudfoot, and we’re deeply disappointed with the very poor “NHS Style” service at Private medical cost. We spend over £600 for a basic treatment and the treatment was far from being effective.  We were told at the appointment that the doctor will redo the procedure if it was ineffective, but on the day of the follow-up appointment she called and cancelled the appointment via her assistant, and said we should consult a surgeon and she can’t help us and does not understand the issue.  The least a doctor can do is make an assessment and provide her professional opinion during the appointment, instead of leaving a message for her patient that she doesn’t want to see us anymore. That is very unprofessional and unethical for a medical professional.  I am a doctor and would never treat my patients in that manner.
On top of the the front office staff is just horrible at treating the patients with respect.  Both times at the clinic the staff was rude and unpleasant.
I hope the learn and improve their service and I truly don’t understand how this place got even 3 stars on google reviews.</t>
  </si>
  <si>
    <t>2019-10-04T08:41:20.290Z</t>
  </si>
  <si>
    <t>Zaki Farooq</t>
  </si>
  <si>
    <t>The doctor I saw a couple months back Dr Richard Coelho was very hurried and spent only 5-7 mins for an expensive appointment and prescribed a cream which didn’t work. I overlooked the fact he was hurried and thought I’d give a second chance and see the same doctor again. Today I came for a follow up appointment and I changed a flight to make the appointment. Guess what? They cancelled their appointment for me with zero notice and claimed they sent an email on the 30th Aug 2022 which purported to say that I needed to pay in advance and since it was not paid the appointment was cancelled. I told them that the last time I attended I paid on the day for the first appointment so what’s changed? They said they changed their policy six months ago (my first appointment was about 2 months ago so that’s not true). When I pulled up the same said email they sent me on the 30th Aug 2022 I showed them the email and it said nothing of the sort about having to prepay before an appointment. She then said sorry the wrong email has been sent to me in error. The receptionist then attempted to speak to the doctor to see if they could fit me in. The doctor said he couldn’t and didn’t care that I’d changed a flight at my expense to make the appointment. There are other better dermatology clinics in London. Avoid this one unless you want an unprofessional service and be messed around and have your time wasted.</t>
  </si>
  <si>
    <t>2022-09-16T18:04:46.345Z</t>
  </si>
  <si>
    <t>Hiba</t>
  </si>
  <si>
    <t>I’ve been left with permanent skin damage. I was not informed of the side effects of the treatment and wasn’t given a choice to make an informed decision. The treatment provided left me with a deep indentation on my face. They’ve left me worse off than prior to seeking treatment.</t>
  </si>
  <si>
    <t>2024-08-04T11:18:51.656Z</t>
  </si>
  <si>
    <t>Stratum Dermatology Clinic Wimbledon &amp; Raynes Park</t>
  </si>
  <si>
    <t>Raynes Park Health Centre, 1 Lambton Rd, London SW20 0LW, United Kingdom</t>
  </si>
  <si>
    <t>enquiries@hs-dc.co.uk</t>
  </si>
  <si>
    <t>Anna MJ</t>
  </si>
  <si>
    <t>Wish I’d never set foot in this place.
I have delayed posting this to give the company every opportunity to reply but have heard absolutely nothing.
I am a doctor and can categorically say poor technique cause a horrific wound infection after a mole removal. Severe pain, several courses of antibiotics, misinformation as to treatment (advised to take an ointment the bacteria were resistant to) and I never saw a doctor afterwards. After weeks of dressing a gross pus filled wound I was left with an ugly scar- all for over £1000.
A legal opinion found poor care. Despite hand delivering this report they lost it. They received a second one and despite several emails I have heard NOTHING from the clinic manager.
I wish I’d gone somewhere else; think carefully before you make your choice. Clearly all this place cares about is getting your money; certainly not
good patient care.</t>
  </si>
  <si>
    <t>2025-04-26T12:17:33.696Z</t>
  </si>
  <si>
    <t>Emma Wells</t>
  </si>
  <si>
    <t>If I could give these less 1 I would. Level of care I received its terrible and disgusting. Now part of bupa still makes no difference. I had a patch test done 5 weeks ago and told i would get my 1st appointment following week. Now its the 2th of Jan and nothing has been done. This messed my mental health and mental state over while festive period. Fact is they only have 1 person in whole building does facial laser removal and only works 2 days a week is beyond me. Now looking another clinic due this terrible service. Never again</t>
  </si>
  <si>
    <t>2026-01-02T12:44:58.829Z</t>
  </si>
  <si>
    <t>jamie wells</t>
  </si>
  <si>
    <t>My wife had a skin biopsy on 22nd July performed by Dr Samantha Keegan.
After chasing up the clinic several times she received a first set of results on 13th August stating 'further levels requested'.
It is now 17th September and despite several phone calls and promises to call back no results have been provided...8 weeks later.
This is now causing her undue stress and anxiety.
We could NOT recommend the Stratum Dermatology clinic to anybody.</t>
  </si>
  <si>
    <t>2025-09-17T10:17:02.700Z</t>
  </si>
  <si>
    <t>Nayeem Noor</t>
  </si>
  <si>
    <t>Absolutely disgraceful service. They changed my appointment without my permission. They prescribed me with medication which was not available in the UK and pharmacies could not get access to and it was ridiculously expensive. And when they did provide me with the something that was available in the UK they could not even send a simple prescription to my local pharmacy. AVOID AT ALL COSTS!!!</t>
  </si>
  <si>
    <t>2022-11-07T12:23:19.050Z</t>
  </si>
  <si>
    <t>Edgaras Milkevicius</t>
  </si>
  <si>
    <t>Unfortunately I had a very bad experience with this clinic, three times my appointment was cancelled or moved to a time slot that suits them but not me. Last time when I was making my way to see Dr Assim they let me come all the way to the clinic, even though I had extremely tight schedule myself on the day, and then they said they need to cancel cause doctor has to catch a flight?! Very disrespectful</t>
  </si>
  <si>
    <t>2022-11-28T13:26:19.683Z</t>
  </si>
  <si>
    <t>Diana Koklonis</t>
  </si>
  <si>
    <t>If you have a serious condition that still needs diagnosis/ treatment, I do not believe this is the right clinic to go to. By personal experience, It seemed as if they were scare to even take the case, and made the wrong diagnosis twice. Some doctors here still don’t know how to read through symptoms within a timeframe and triggers to establish a clinical diagnosis. Additionally, Not only do they leave you hanging in there when you are in pain and most desperate for a follow up, but you need to chase them to even get another doctor to do the follow up. It also took ages for them to go ahead with a biopsy that was indeed necessary to get a diagnosis. On top of that they are partnered with a lab that read the biopsy wrong , certified by other laboratories. They don’t challenge results to match with clinical symptoms, and they are not the best to even suggest a specialist who might help. It just seemed they wanted the money and wouldn’t even face you to say the case was beyond their capabilities and suggest a proper specialist ( as any good doctor would do).</t>
  </si>
  <si>
    <t>2022-04-17T02:33:54.954Z</t>
  </si>
  <si>
    <t>Zara Brindley</t>
  </si>
  <si>
    <t>Terrible service, avoid at all costs</t>
  </si>
  <si>
    <t>2025-01-03T11:46:42.604Z</t>
  </si>
  <si>
    <t>raj patel</t>
  </si>
  <si>
    <t>2022-11-04T16:50:56.871Z</t>
  </si>
  <si>
    <t>Iliana Koklonis</t>
  </si>
  <si>
    <t>2022-04-19T01:50:06.715Z</t>
  </si>
  <si>
    <t>Muna mohamed idris</t>
  </si>
  <si>
    <t>2021-05-18T13:50:20.501Z</t>
  </si>
  <si>
    <t>sk:n Edinburgh</t>
  </si>
  <si>
    <t>Apex House, 97 Haymarket Terrace, Edinburgh EH12 5HD, United Kingdom</t>
  </si>
  <si>
    <t>+44 333 014 1666</t>
  </si>
  <si>
    <t>Scott Baxter</t>
  </si>
  <si>
    <t>A bit useless. I booked a consultation for mole removal as it had been changing rapidly. I cancelled other appointments because Sk:n could fit me in same day.
I got a phonecall 1 hour before the appointment to inform me of a "miscommunication" and that they'd have to push me into next week.
Not great when you're dealing with a health matter of concern, and when you've cancelled other appointments in favour of this one. I was already on my way to the clinic.
Don't advise 👎</t>
  </si>
  <si>
    <t>2025-11-27T18:07:48.935Z</t>
  </si>
  <si>
    <t>amy lee mary</t>
  </si>
  <si>
    <t>they will lure you to come to this clinic for you to pay £185 to tell you that "no, we don't offer the service you saw advertised on our website". AVOID!!!!! Their supposed "nurse manager" is so rude, abusive she shoudn't be near people.</t>
  </si>
  <si>
    <t>2026-04-10T11:37:29.487Z</t>
  </si>
  <si>
    <t>Ivan Vilensky</t>
  </si>
  <si>
    <t>Showed up slightly late because of heavy traffic. Tried to call ahead, no response. After showing up the nurse told me that I can’t be seen by the doctor, which I guess I can understand, but I can’t even reschedule without giving them another 50£ deposit. There was no possibility of carrying over the previous 50£ deposit to create the new appointment, no reason was given as to why. “We just can’t”. Total waste of money and time, very sad and disappointing.</t>
  </si>
  <si>
    <t>2026-03-07T11:25:42.628Z</t>
  </si>
  <si>
    <t>stephanie parsons</t>
  </si>
  <si>
    <t>I had a very disappointing experience with SKN Clinics and want to warn potential customers.
In late June, I contacted them to ask about laser treatments for thread veins. I explained on the phone that I only wanted an informal chat to understand what options were available, as I wasn’t sure whether I would go ahead with treatment. I was told this could be arranged with a £50 refundable deposit, which would either be returned if I didn’t proceed or used towards treatment if I did. That sounded reasonable, so I booked.
A few days before the appointment, I checked their website and noticed consultations were listed at £180, with a cancellation policy requiring 5 days’ notice. Concerned, I called to clarify. At that point, I was told I had actually been booked for a full consultation — not the brief chat I was originally promised — and that I would be charged £180 if I went ahead. I was also told I had lost my £50 deposit since I was now within the 5-day cancellation window. None of this was made clear during my first call.
On July 1st, I raised a complaint with a helpful staff member (Christopher Hopkins), who agreed I had been misled and assisted me with filing it. On July 2nd, I received an email confirming the matter would be resolved within 20 days. As of August 23rd, I have heard nothing further.
This experience has left me feeling misled and ignored. If this is how SKN Clinics handle a small issue, I dread to think how they might deal with something more serious. I strongly suggest looking elsewhere. For example, I later went to Cavendish Clinics in John Lewis, where the consultation and patch test were both free, and the treatment itself was only £90.</t>
  </si>
  <si>
    <t>2025-08-23T06:56:20.078Z</t>
  </si>
  <si>
    <t>Helen C</t>
  </si>
  <si>
    <t>Booked for a mole consultation for £185. The customer service of the staff and bedside manner of the doctor made that price feel a bit sickening. I had booked for the excision of the mole but my gut was just telling me to cancel and find a better clinic. With minor surgery you’ve got to feel comfortable and in good hands, neither of which I felt with this clinic. Seems the reviews have mostly been negative since SK:N went into administration, made all their staff redundant then got bought out. The staff they’ve retained or hired again seem to not enjoy working there. If they are happy, that’s not the vibe they’re giving off.</t>
  </si>
  <si>
    <t>2024-12-05T14:17:07.537Z</t>
  </si>
  <si>
    <t>beth</t>
  </si>
  <si>
    <t>I booked in for an acne consultation with one of the doctor and the entire appointment felt like a sales pitch. I wasn't given any time to properly talk about the problems I was having and, honestly, I was made to feel like my skin issues were almost entirely my fault.
No real advice was given to me outside of "buy this, buy that" and some of the product recommendations were for things not readily available in the UK. I was given a prescription, which I appreciated, but I was not told that it would cost me £40 until I was paying for the appointment.
The information that I filled in prior to the appointment didn't seem to be looked at either and overall the experience has made me feel worse about my skin because I can't afford to fix it. My self esteem has taken quite a hit following this appointment.
This is likely just a personal experience and I imagine other services at the clinic are fantastic, but I would not recommend coming here if acne is your primary issue.</t>
  </si>
  <si>
    <t>2025-02-23T12:59:31.250Z</t>
  </si>
  <si>
    <t>Kit Fagan</t>
  </si>
  <si>
    <t>Had appointments cancelled for a laser hair removal session for several weeks in a row now as there is only one clinician and 0 provision if they're ill. Receptionist unhelpful and the reality is that this is treatment that needs to be timely otherwise it's £2800 down the drain. Also there's no AC unit or proper cooling in the clinician's room which means the cooling jet for the laser doesn't work mid-way through a long session. Personally would avoid for the forceable future.</t>
  </si>
  <si>
    <t>2025-06-18T09:35:46.685Z</t>
  </si>
  <si>
    <t>S</t>
  </si>
  <si>
    <t>Edit - Just read the reviews after posting and seems many people feel the same way as I do - they are a bit rude/patronising, and unhelpful.
I spoke to someone on the phone about a treatment. They were cagey about the price and said I had to see a doctor to know how much the treatment would actually cost. Bearing in mind, the doctor's appointment was £200 in itself.
For the record, I don't mind paying for good service, but the fact that you can't give me a ballpark estimate on the upper limit didn't sit well with me.
You mentioned, "the treatment starts at £750ish," which I appreciated, but it wasn't even discussed whether that was for one session, multiple sessions, or if there is a discount for many sessions.
Even if it had been, "for full face and in many cases, it can be upwards of thousands of pounds," that would have been fine, but I'm not paying £200 just to find out something is out of my budget.
"Our prices are on our website" - that's great, but the reason I called in the first place was that I couldn't find exactly what I was looking for. And if I'm going to be paying potentially thousands of pounds for treatment, surely the ability to discuss the treatment with someone over the phone should be part of the service?
I called in optimistic and hopeful of working with a new aesthetic clinic and exited the call disappointed, as all I needed was some information that I couldn't get.
Based on the interaction, the fact they are lower-rated than other clinics in the area, doesn't surprise me.
I will say, however, I think I spoke to someone at their call centre and not the clinic itself.</t>
  </si>
  <si>
    <t>2023-11-18T11:24:46.439Z</t>
  </si>
  <si>
    <t>Yulia Konyk</t>
  </si>
  <si>
    <t>They just steal your money and do nothing - waste of money, I’ll never be back. If I could give you 0 stars, I would.</t>
  </si>
  <si>
    <t>2026-03-07T12:12:17.212Z</t>
  </si>
  <si>
    <t>Linda</t>
  </si>
  <si>
    <t>The first time I went for a consultation, one receptionist groaned to the other.
I didn't feel welcomed and couldn't understand what was wrong.
I later found out the doctor was running late and I was told his train had been late. When I asked how late I was informed that he was running half an hour late. I was unable to wait for my appointment so it was rearranged for 2 weeks later.
I received a phone call to change the date of my appointment a week before. I agreed to this.
On the day of my rescheduled appointment there were a few others waiting. The doctor was running late and appeared harassed.
I was asked what I wanted treated and didn't really receive a consultation. The doctor just looked at my forms and agreed to do a  laser test patch after he treated another patient.
I received the test patch and my leg is very  badly bruised. I realised it might bruise but I'm unsure if it's usual to be bruised so badly.
I felt the clinic was too busy, overheard someone complaining about her treatment and the doctor seemed stressed.
I have cancelled my next appointment as I have no confidence in this clinic.
It appeared chaotic and disorganised. I had a long wait on the phone to cancel and couldn't find how to cancel on the website. It certainly wasn't apparent.
An expensive trial and  a very poor service for a potential new patient.
I will now search for a more professional clinic.</t>
  </si>
  <si>
    <t>2023-06-22T16:32:33.249Z</t>
  </si>
  <si>
    <t>Barnet Hospital :Dermatology</t>
  </si>
  <si>
    <t>Wellhouse Ln, Barnet EN5 3DJ, United Kingdom</t>
  </si>
  <si>
    <t>+44 845 111 4000</t>
  </si>
  <si>
    <t>jennifer farquharson</t>
  </si>
  <si>
    <t>2024-12-02T11:38:57.821Z</t>
  </si>
  <si>
    <t>Daisy Hill Hospital</t>
  </si>
  <si>
    <t>5 Hospital Rd, Newry BT35 8DR, United Kingdom</t>
  </si>
  <si>
    <t>+44 28 3083 5000</t>
  </si>
  <si>
    <t>Maria Mateja</t>
  </si>
  <si>
    <t>I had a very bad experience. I spent 12 hours in the waiting room with my sick mother. In the morning, no patients were seen for the last three hours, and throughout the night, 11 people were seen by three doctors. It's a joke. People in very poor condition gave up and left the hospital after a few hours.</t>
  </si>
  <si>
    <t>2026-04-14T06:32:19.396Z</t>
  </si>
  <si>
    <t>Alyssa Jarlos</t>
  </si>
  <si>
    <t>We visited A&amp;E with our children. One child was eventually seen after a long wait, but another child showing early signs of illness was not even registered or assessed. He was left lying across chairs in the waiting area, and our attempts to get help were ignored. We had to leave and return later. Serious gaps in prioritizing sick children need urgent attention.</t>
  </si>
  <si>
    <t>2025-10-13T05:13:04.988Z</t>
  </si>
  <si>
    <t>HLS Milton</t>
  </si>
  <si>
    <t>Go to Belfast. Rudest ever a&amp;e reception. My son and I had to sit on a wall outside a&amp;e despite his broken foot. No wheelchairs. No phone reception, but even though I was there with a child in pain, I had to sit on a wall outside to phone to make an appointment. When I finally got told I could be seen if I got to a hospital 40 miles away for 4.10 that afternoon as they were full at the daisy (because of course you make appointments at accident and emergency), we cried and gave up. I’ve had to strap up my son’s foot, give him lots of painkillers and find a train to get to Belfast tomorrow.  Basically, this is more than useless. It shouldn’t even bother to exist. And as for the front desk staff (woman with blonde hair), she shouldn’t be front facing at all. Her rudeness was disgusting. You don’t turn to to a&amp;e for fun, and to be spoken to in the way she spoke to myself and my ten year old and make us sit outside on a wall was unacceptable. Don’t ever go to this hospital if you want actual treatment as they only provide rudeness and a way to get rid of you - and this is you are a child. God knows how rude and useless they would be just to adults.</t>
  </si>
  <si>
    <t>2025-08-22T13:36:47.604Z</t>
  </si>
  <si>
    <t>The Tartan Republican</t>
  </si>
  <si>
    <t>5 hours with my child, an xray and a plaster on the wrong digit. Absolute joke</t>
  </si>
  <si>
    <t>2026-04-23T21:56:18.904Z</t>
  </si>
  <si>
    <t>Bob Sample</t>
  </si>
  <si>
    <t>I am extremely disappointed with the level of service I received at this hospital. During my stay, I encountered a nurse named Beatrice who displayed unprofessional behavior, abusive language, and mood swings. This created a distressing environment and compromised the quality of care. As a patient, I expected to be treated with respect and compassion. I hope the hospital takes immediate action to address this issue and ensure patients are treated properly in the future.</t>
  </si>
  <si>
    <t>2023-08-15T21:09:38.964Z</t>
  </si>
  <si>
    <t>Laura McClements</t>
  </si>
  <si>
    <t>If I could give zero, I’d go for that. I was treated here on September 6th for surgical removal of miscarriage. The surgeon left a significant amount of pregnancy tissue. A month later I am still bleeding, in pain, and testing positive. It is still ongoing and looks set to be for a while with more treatment and appointments to follow. I have been left in an awful way by daisy hill. I have transferred my case to Craigavon who have a plan of action in place for treatment. Daisy Hill hospital is staffed by locums. My surgeon was Dr Sandulean (locum). Please avoid him if in his care.</t>
  </si>
  <si>
    <t>2024-10-01T13:56:30.725Z</t>
  </si>
  <si>
    <t>rachael</t>
  </si>
  <si>
    <t>Going for regular appointments and there is absolutely no parking available. People are double parking on double yellow lines, in the middle of the carpark and up on the pavements because they just have to, as there is just no other options and people are trying to be on time for appointments.
The parking wardens are then issuing £90 parking tickets to the people parking up on pavements but not touching those  parked on double yellow lines right outside the hospital which is disgraceful altogether.
It's disgusting that because there isn't sufficient parking facilities I have to expect a £90 fine each time I visit unless I get lucky and someone pulls out of a space. A multi store carpark is desperately needed here.</t>
  </si>
  <si>
    <t>2024-06-11T11:40:32.446Z</t>
  </si>
  <si>
    <t>Keith Roper</t>
  </si>
  <si>
    <t>This review is for the car parking only. They're not fit for purpose! A 5 year old used to playing with toy cars could have designed them better.</t>
  </si>
  <si>
    <t>2020-11-05T12:27:03.869Z</t>
  </si>
  <si>
    <t>Donna McKnight</t>
  </si>
  <si>
    <t>Whilst most of the nursing care in this facility has been second to none.  Administration leaves so much to be desired.   Perhaps this facility needs addressing.</t>
  </si>
  <si>
    <t>2022-09-06T12:44:57.841Z</t>
  </si>
  <si>
    <t>Timas Simonavicius</t>
  </si>
  <si>
    <t>Been waiting for 3 hours baby's crying and all they did was give me a blood test the service made it really painful and after 7 hours all they said was it will be fine</t>
  </si>
  <si>
    <t>2024-10-17T20:39:01.658Z</t>
  </si>
  <si>
    <t>Dover Health Centre</t>
  </si>
  <si>
    <t>Maison Dieu Rd, Dover CT16 1RH, United Kingdom</t>
  </si>
  <si>
    <t>+44 1304 865500</t>
  </si>
  <si>
    <t>kentchft.engagement@nhs.net</t>
  </si>
  <si>
    <t>lewis frost</t>
  </si>
  <si>
    <t>Poor experience at dermatology.  Staff rude.  45 minuet delay after my appointment time.  Seeing patients whose appointment time was after me and leaving me sat there.  Building has a very strong smell of urine</t>
  </si>
  <si>
    <t>2026-06-30T14:53:04.959Z</t>
  </si>
  <si>
    <t>Jonathan Blackhall</t>
  </si>
  <si>
    <t>Went to see the dermatologist who had no idea what she was taking about. I was embarrassed for her.
No help what so ever. Waist of a day</t>
  </si>
  <si>
    <t>2020-02-17T12:28:13.773Z</t>
  </si>
  <si>
    <t>Ivans Kostins</t>
  </si>
  <si>
    <t>Worst ever medical practice with useless doctors. Hope they'll shut down soon. Doctors like they got should not be doctors</t>
  </si>
  <si>
    <t>2019-10-15T08:15:08.012Z</t>
  </si>
  <si>
    <t>Kam Mis</t>
  </si>
  <si>
    <t>I am waiting for a report from the hospital for 3 weeks. This is a scandal</t>
  </si>
  <si>
    <t>2018-01-31T10:42:02.316Z</t>
  </si>
  <si>
    <t>Anneliese Ghyselen</t>
  </si>
  <si>
    <t>2019-03-27T15:54:39.534Z</t>
  </si>
  <si>
    <t>Jeff Steward</t>
  </si>
  <si>
    <t>2016-04-29T00:26:53.672Z</t>
  </si>
  <si>
    <t>Azkan</t>
  </si>
  <si>
    <t>If you have a appointment at 16.00,you will wait even half an hour...</t>
  </si>
  <si>
    <t>2018-09-05T15:09:03.747Z</t>
  </si>
  <si>
    <t>Adam Rogulski</t>
  </si>
  <si>
    <t>Staff friendly</t>
  </si>
  <si>
    <t>2016-11-15T18:21:53.305Z</t>
  </si>
  <si>
    <t>Crop BioLife</t>
  </si>
  <si>
    <t>2017-11-07T12:09:19.384Z</t>
  </si>
  <si>
    <t>Přátele iPhonů</t>
  </si>
  <si>
    <t>2017-08-21T07:18:54.004Z</t>
  </si>
  <si>
    <t>East Cliff Practice</t>
  </si>
  <si>
    <t>The Montefiore Medical Centre, Dumpton Park Dr, Ramsgate CT11 8AD, United Kingdom</t>
  </si>
  <si>
    <t>+44 1843 855800</t>
  </si>
  <si>
    <t>Renn Hales</t>
  </si>
  <si>
    <t>Complete incompetence, unable to even get a face to face appointment with my GP, having to wait weeks just for a phone call, over the past 3 years the service has declined more and more, none of my medical issues have been adressed in the past 2 years despite countless attempts. Reception doesn't commicate with staff, typically when I would call I would recive information that would directly contradict the last receptionist, , the GP seems swamped and in choas. DO NOT SIGN UP FOR THIS GP.</t>
  </si>
  <si>
    <t>2026-06-17T17:15:11.390Z</t>
  </si>
  <si>
    <t>obliv ious</t>
  </si>
  <si>
    <t>their a nightmare, the nurses are rude, they want the receptionists to triage ppl but instead they fob you off, the doctor himself said when your ill just sit in the waiting room and refuse to leave... the practice manager said please put all your complaints in writing we hope that with enough ppl complaining they get some more govornement funding... to even get on at the practice you need to start quing at 5 :30 in the morning, and by the time you get to the front they have taken on their alowance of patients for the day and you need to come back and que another day... the whole things ridiculous. You need to fill in endless forms in their silly nhs app, the app has 3 different messenger box's that they could have mesaged you in there.... imagine trying to get a doctors appointment, then them sending you an apointment in 2 weeks time at the local hospital because they " dont have enough capacity"  to let you  see an inhouse doctor. How is their any treatment continuity with this out of house treatment. But are they the worst in thanet? i dont know.</t>
  </si>
  <si>
    <t>2025-07-22T12:17:28.659Z</t>
  </si>
  <si>
    <t>Charlotte Campion</t>
  </si>
  <si>
    <t>Took 18 weeks to get my sons 6-8 week review, they are neglectful and rude. Been here since I was a baby and they've gone so down hill in the past few years. Have to wait 3-4 weeks for an appointment that I was forced to submit via e-consult before the change over had happened to then be told during that appointment that what I need to talk about requires a double appointment. Would think if I put through an e-consult that it would have been booked that way. But kom explains why I have had delayed appointment upwards of 40 minutes (that being my shortest wait during to delays) to then have a really rude doctor tell me I'm wrong and he right basically. Shocking before during and after my pregnancy. Would rather live with my medical issues than deal with them</t>
  </si>
  <si>
    <t>2025-03-24T11:46:13.251Z</t>
  </si>
  <si>
    <t>Louise Kemp</t>
  </si>
  <si>
    <t>Rang to try and get an appointment breast cancer?? Filled in an e consult form was told I needed an appointment to see someone as I have breast discomfort. Very abrupt receptionist told me no pre bookable appointments available, I explained I didn’t need an appointment today just soon. I was dismissed and told to ring at 8 in the morning when half of Thanet are trying to contact them !  Rude and dismissive receptionist no compassion at all !</t>
  </si>
  <si>
    <t>2025-02-26T15:48:47.419Z</t>
  </si>
  <si>
    <t>barbados boomboom</t>
  </si>
  <si>
    <t>I have been with this surgery for 3 years...it is almost impossible to get an appointment. The best they can do is a telephone appointment in 2 weeks time. They of course always say call 111. They rarely answer the phone to the point that I actually walked up there with the fone still ringing and there were 3 receptionists chatting with the phone ringing next to them. Other surgeries in the local area are much better than this.
If you are looking to register with a GP surgery I'd bear the above in mind. I'm considering changing.</t>
  </si>
  <si>
    <t>2023-03-09T16:33:03.486Z</t>
  </si>
  <si>
    <t>Simon Fisher</t>
  </si>
  <si>
    <t>How this surgery (mainly it’s receptionists) hasn’t been made to have an overhaul is beyond me.. receptionists think they’re medical experts, give poor advice, 2 weeks wait for an appointment, they ignore the phone deliberately when it rings.. they try their hardest to avoid booking appointments, probably so that they can sit gas-bagging all day, and treat you like an inconvenience if you turn up at the surgery. The Doctors are great, but someone there needs to seriously look at their rude reception staff that they’re employing.</t>
  </si>
  <si>
    <t>2023-06-06T10:41:40.590Z</t>
  </si>
  <si>
    <t>Cathy Robinson</t>
  </si>
  <si>
    <t>The receptionists are beyond rude, they are dangerous with the advice they give. They have zero compassion. I have been let down by this surgery every time I've been. I had hiatus hernia they told me I had either anxiety or ibs, my mum had a clot on her lungs, they said her feet were swollen because of the heat, I couldn't get an appointment for uti and ended up with a severe kidney infection that 2 months later is still healing. I could go on! The receptionist couldn't have cared less. Apparently it was my fault someone had given me an exact time for a telephone appointment and they didn't call! They shouldn't have I was barked back when I enquired! Why not? It's a miracle if you can get any appointment. Elderly patients are left queuing outside first thing in the morning. Appalling treatment and so much worse than it was 20 yes ago and that's saying something.</t>
  </si>
  <si>
    <t>2022-04-25T16:40:05.709Z</t>
  </si>
  <si>
    <t>Alexander Lynn</t>
  </si>
  <si>
    <t>I'm going to have to find a new practice, I have had enough, moved here 4 years ago and I think I've probably seen 6 different GPs and not the same nurse. The only way I have had to get anything sorted is to go to QEQM or when I had BUPA. Complete waste of time and if they can't keep up then they need to refer patients away</t>
  </si>
  <si>
    <t>2024-10-21T17:55:08.495Z</t>
  </si>
  <si>
    <t>Carolyn Coker</t>
  </si>
  <si>
    <t>Having requested an urgent prescription four days ago on advice from my nurse I find that it's still sitting in his inbox! Requested again as urgent this morning, six hours later still not completed. My products have to be posted and now will not arrive before I run out. As I am new to this type of medical condition I am extremely upset that I now have to contact the hospital for assistance.</t>
  </si>
  <si>
    <t>2024-04-09T15:17:18.003Z</t>
  </si>
  <si>
    <t>jenny miller</t>
  </si>
  <si>
    <t>After being registered at east Cliff practice since 2013 i have changed surgery this month due to the poor service over the past 3 years. I have several chronic health conditions and despite phoning daily for several weeks I was not able to see a doctor or even get a telephone consultation with a doctor . I have come to the conclusion that east Cliff cannot offer a safe level of service to their patients and have changed surgery because I am fortunate enough to live within the right postcode.</t>
  </si>
  <si>
    <t>2021-10-07T22:19:30.192Z</t>
  </si>
  <si>
    <t>Kent Skin and Laser Clinic</t>
  </si>
  <si>
    <t>26 Castle St, Canterbury CT1 2PX, United Kingdom</t>
  </si>
  <si>
    <t>+44 1227 472288</t>
  </si>
  <si>
    <t>Christopher</t>
  </si>
  <si>
    <t>am writing to express my deep frustration and disappointment regarding the recent consultation I had with one of your doctors. What I experienced was not only unprofessional, but could have had serious — and potentially life-threatening — consequences.
I booked the appointment urgently, concerned about a lesion on my arm that I feared might be skin cancer. However, instead of examining the area, the doctor spent over 20 minutes discussing a genetic screening program — something he was clearly trying to sell to both me and my wife. This was not the reason for my visit, and the focus on this program was both inappropriate and distressing at a time when I was extremely anxious about my health.
It was only after my wife directly asked him if he was going to look at my arm that he finally did — with only a few minutes left in the appointment. He diagnosed it as eczema and prescribed a steroid cream, which the pharmacy couldn’t even read due to the poor handwriting.
Since then, I received an urgent appointment through the NHS, where the lesion was surgically removed. It turned out to contain cancerous cells. I have now lost a significant portion of my arm due to the delay in treatment. The NHS consultant who treated me even commented, "He can’t be much of a doctor if he thought that was eczema."
I will not be paying for this consultation and have lodged a formal complaint with Bupa, requesting they withhold their contribution as well. I also intend to share my experience publicly to warn others.
This experience left me frightened, angry, and let down at a time when I needed professional medical help. The service I received was unacceptable and potentially dangerous.
I expect this matter to be taken seriously and investigated thoroughly.</t>
  </si>
  <si>
    <t>2025-06-04T10:29:35.966Z</t>
  </si>
  <si>
    <t>Sue Read</t>
  </si>
  <si>
    <t>Very unprofessional &amp; disorganised. This was a follow up appointment but the Dr didn't have the necessary equipment in her room to look at my arm or have access to previous images. She was 10 minutes late seeing me &amp; I was in the room for no more than a few minutes. When I requested at reception how to make a complaint someone rocked up to log the Dr into the computer system to access the photos ,so back into the room I went. Not impressed with either the clinic or the clinician especially at the exorbitant cost.</t>
  </si>
  <si>
    <t>2025-11-07T16:48:23.800Z</t>
  </si>
  <si>
    <t>Carole Wake</t>
  </si>
  <si>
    <t>Beware, prices are absolutely extraordinary at this place now. Was charged £335 for a half hour consultation yesterday, which was actually just a half hour chat. I am a previous customer and knew what I needed done. Last time I was there for a much more extensive consultation, my first, 7 years ago and it cost £120. Nearly 300% increase when inflation over that period running at around 2%, making a total of approx 14%. Nothing improved or changed re the facilities, still very basic. A rip off</t>
  </si>
  <si>
    <t>2025-01-16T14:48:46.281Z</t>
  </si>
  <si>
    <t>Mia Stevens</t>
  </si>
  <si>
    <t>Paid £300 for a 30 minute consultation and was out within 6 minutes. Barely asked me any questions or examined to face to try and solve the issue. Instead palmed me off with tablets and almost forgot to ask if I was pregnant to ensure I could take them. No time or care taken in my ‘consultation’ and definitely not worth paying for a 30 minute appointment when they shove you out as quickly and they get you in the door. Acne has been an ongoing problem for a while and I finally taken the plunge to pay the money to help get it resolve and get to the bottom of it and the DR barely paid any attention to my problem and gave me tablets as a quick fix. Would not recommend .</t>
  </si>
  <si>
    <t>2025-01-14T20:35:25.751Z</t>
  </si>
  <si>
    <t>Suzanne</t>
  </si>
  <si>
    <t>I contacted the clinic about pigmentation and broken veins. The practitioner was helpful but nowhere was it made clear either verbally or in writing that I might need more than one treatment specifically for pigmentation. Following treatment, the pigmentation was not resolved. I contacted the clinic and was told it might take a few weeks. Again, no mention of any need for repeat treatment. At this stage at the very least it would be natural to mention this, if not at the outset.
Such aspects need to be transparent.
It had been explained that the treatment for broken veins was a test run, but this was never mentioned in relation to pigmentation. I tried to contact the clinic repeatedly but had no response. I finally had to ring. When I saw the practitioner, I asked about further charges and she finally explained that it could be hundreds of pounds.
They had lost a client due to lack of transparent working practices</t>
  </si>
  <si>
    <t>2024-06-08T11:34:51.520Z</t>
  </si>
  <si>
    <t>Ben Austin</t>
  </si>
  <si>
    <t>Booked a consultation, arrived early only for the doctor not to show up at my appointed time without explanation or reason for the delay. I understand that delays happen but being left in the dark with zero communication is just down right rude and unprofessional. I ended up leaving 20 minutes after my appointment should have commenced as I had taken time out of work to attend this appointment. I guess I'll spend another month waiting to see a dermatologist elsewhere ?</t>
  </si>
  <si>
    <t>2023-06-14T18:45:20.009Z</t>
  </si>
  <si>
    <t>natasha fivaz</t>
  </si>
  <si>
    <t>During my recent visit to the clinic, I inadvertently used my business card to settle payment for a treatment. Upon recognizing this error, I promptly contacted the clinic to rectify the situation. I offered to make a payment using my personal credit card and requested a refund for the initial payment made with the business card, which was agreed upon by the clinic staff. Subsequently, I made another payment using my personal credit card.
Despite providing the long card number of the business card I mistakenly used for the initial payment, the clinic staff denied that it was the card used and refused to process the refund. I later received an email from the clinic with an account number that did not correspond to any of my accounts. I replied to the email clarifying this and provided evidence of the payment from my business bank statement, yet this was not accepted by the clinic.
I further offered to visit the clinic in person with my phone and bank statement to resolve the issue, but this offer was declined. Faced with the clinic's refusal to refund the erroneously charged amount, I proceeded to contact my bank to initiate a chargeback.
Following this, I received a call from the clinic's finance department, where I was informed that using Apple Pay displays a different number than the physical card. I also confirmed this information with Apple Support. I assumed the clinic's finance department would relay this information internally, but it seems that communication was lacking.
Subsequently, I received an email asking me to make a payment, and upon calling the clinic in good faith to settle the matter, I was met with continued denial of the card used for payment. Despite explaining the situation to the Clinic Manager, I encountered a refusal to acknowledge the error or offer an apology.
The lack of understanding regarding Apple Pay on the clinic's part, coupled with their unwillingness to consider alternative explanations for the discrepancy, has led to significant inconvenience, distress, and wasted time. The absence of an apology for their mistake is disappointing, and I urge the clinic to address their operational shortcomings and provide better customer service in the future…
Thank you for acknowledging the feedback. Regrettably, contrary to your assertion, there was no commitment made by you during our last call. You continued to assert that the card number I provided did not match the one used for payment. There was a lack of acknowledgment of the mistake made by you or an apology from your end. As mentioned during our last call, I have already consulted with the clinic's finance department, who confirmed the discrepancy related to Apple Pay. Therefore, I am uncertain why you are stating that your finance department will be contacting me. It appears that you are not fully acknowledging my feedback!</t>
  </si>
  <si>
    <t>2024-02-27T15:19:50.290Z</t>
  </si>
  <si>
    <t>Lacie Mckenna</t>
  </si>
  <si>
    <t>ETA 4th Nov 23
I contacted Louise who carried out my treatments. I explained that after 4 months the filler hadnt gone down, not even a little bit. I'd decided I would like for it to be dissolved (which had been previously offered, at no cost).
I had a reply back saying she (Louise) wouldnt do it for 'a number of reasons' that she'd discussed with management.
She didnt elaborate other than saying she didnt want to because I'd previously been disappointed with her standard of work. She basically said I can go elsewhere (at cost to myself)
I had spoken with two other clinicians prior to emailing who said that a good therapist would always try to correct any work that went wrong (even after 4 months) so I am genuinely surprised to have recieved a no.
Apparently I've been passed to the practice manager so we will see how that pans out and I will update accordingly.
I initially went along just for  some botox in my frown lines and 11s. We obviously got chatting and Louise brought up filler as an option. I said I hadn't considered it because I'd heard so many horror stories.
Louise told me it's a really low risk and I would be a perfect candidate and that I'd have "amazing results" I wished I'd gone with my gut. I was lulled into this false sense of security. I'm not saying that it was done in an intentional or manipulative way but thats what happened.
I said yes to the filler (tear trough) so I had that and also the botox.
Immediately afterwards it didn't look too bad. My frown lines were already going and the filler looked OK.
However the very next day I looked awful. You could see the filler protruding under my eyes and even my frown lines were starting to come back.
I went in for a botox top up a couple of weeks later. I mentioned the filler and Louise said I needed to give it time (it had been 2 weeks by then)
Whilst there I also had profhilo as Louise said it would tighten my face and smoothe out the wrinkles and blemishes (particularly the lines above my lip)
I went away and again the frown lines returned. Pretty much all were back by day 4.
Within a month I could see no affect from the profhilo but I'd been told that's normal and the results will come immediately after treatment 2.
I had treatment number 2 about 4-5 weeks after the 1st one. I'm now about 6 week's post treatment 2 and honestly it's had no affect. I still have all of my lines and blemishes and redness (I was told this would all even out)
The filler still looks horrendous. I have been in constant contact with the clinic telling them how awful it is.
I was called back in for higher strength botox (no charge) and I'm a week past that now and the results are ok.
Under my eyes look terrible though. I look completely weird when I smile and the filler has caused weird bumps.
I spent about £1500 in total and all I have to show for it is a relatively smooth forehead. Oh and a messed up face. I can't even leave the house without glasses as my confidence is on the floor.
I went along for treatments to treat myself. I'm a disabled single parent of a disabled child.  I wanted to do something for myself to make me feel better/more refreshed.
I'm left feeling that I've basically paid for someone to ruin my face. That was a large sum of money to me. I saved for 3months just to afford some treatments for self care purposes.
The only option now re the filler is to have it dissolved. I can't go down that route as its dangerous, I've seen so so many stories about how bad dissolving it can be.
I'm extremely disappointed and unbelievably sad  that I've been left feeling this way.</t>
  </si>
  <si>
    <t>2023-11-04T17:29:06.075Z</t>
  </si>
  <si>
    <t>F T</t>
  </si>
  <si>
    <t>Paid £295 for the doctor just to say “Drink Green tea, eat carrots, consume honey”, and was prescribed with tablets and some gel, was a complete waste of money, and was not satisfied with the outcome, I would not recommend paying such a large sum of money, for a bad outcome.</t>
  </si>
  <si>
    <t>2025-06-03T21:03:24.780Z</t>
  </si>
  <si>
    <t>Sarah</t>
  </si>
  <si>
    <t>Booked an appointment with the main man. I thought he was uninterested and dismissive. He referred me to a lady specialist. The receptionist was rude on arrival and when I left. And I bought some silly products at inflated prices. These people are making good money fro you.</t>
  </si>
  <si>
    <t>2023-04-30T23:13:30.620Z</t>
  </si>
  <si>
    <t>Queen Elizabeth The Queen Mother Hospital Emergency Room</t>
  </si>
  <si>
    <t>Queen Elizabeth The Queen Mother Hospital, St Peter's Rd, Margate CT9 4AN, United Kingdom</t>
  </si>
  <si>
    <t>+44 1843 225544</t>
  </si>
  <si>
    <t>ekh-tr.communications@nhs.net</t>
  </si>
  <si>
    <t>Stacey</t>
  </si>
  <si>
    <t>I wish I could give 0.
Absolutely ridiculous, 24 hours you left a 75 year old man sat in a&amp;e on a chair!  Just to miss diagnose and send him on his way. Absolute joke.</t>
  </si>
  <si>
    <t>2026-03-04T20:19:49.664Z</t>
  </si>
  <si>
    <t>-</t>
  </si>
  <si>
    <t>Been here soo many times, just get sent around everywhere. First it’s emergency room, then it’s the GP to wait for hours on end. The staff do nothing but talk about food and other doctors. Terrible doctors, terrible waiting areas, no one gets seen and the next closest A&amp;E is in Ashford, which is even worse than it is here. Making people wait is just making them even sicker, and god forbid, potentially die.</t>
  </si>
  <si>
    <t>2024-05-14T14:22:05.130Z</t>
  </si>
  <si>
    <t>Adam</t>
  </si>
  <si>
    <t>You only have to Google the hospital to see its own government rating to see how bad this hospital is.
Another example of lack of funding and general low staff morale and patient care.
Not enough seating in A&amp;E with people sitting on floors and having to stand outside, a triage service done in public in the main waiting room and doctors that don't even bother to come out of their room to call you.
And if you try to get answers from any staff, due to lack of staff care and morale you will either be fobbed off or just ignored. sorry Margate but your councillors have let your town down and left you with a bad excuse of a hospital, run down and seriously in neglect. Sound familiar? Where do your taxes go? Your town doesn't seem to have improved over the years, so where are your taxes going, councillors??
Even the security guards are like a pack of wolves looking for trouble walking round in black like they are gangsters trying to intimidate.
Personally I think even a 100 mile trip to another hospital would be more favourable
Sorry Margate you deserve better.</t>
  </si>
  <si>
    <t>2020-01-15T03:58:23.908Z</t>
  </si>
  <si>
    <t>Chiras Family</t>
  </si>
  <si>
    <t>Is the most disgusting place to be.In 8 hours 1 painkiler for serious pain give in ambulance.The rest, waiting time is so bad.Ask for another painkiler after morr then 7 hours and a half and you need the doctor that is not even there to prescribe your painkiler</t>
  </si>
  <si>
    <t>2024-07-16T05:51:28.143Z</t>
  </si>
  <si>
    <t>Shape of Architecture</t>
  </si>
  <si>
    <t>Terrible specialists. Appalling level of knowledge and care.</t>
  </si>
  <si>
    <t>2024-06-21T15:14:33.559Z</t>
  </si>
  <si>
    <t>omer faruk pamak</t>
  </si>
  <si>
    <t>We have been waiting for 7 hours. It is a terrible place. They do not care anything.</t>
  </si>
  <si>
    <t>2019-02-28T21:45:29.010Z</t>
  </si>
  <si>
    <t>james morley</t>
  </si>
  <si>
    <t>Doom n gloom what can I say,</t>
  </si>
  <si>
    <t>2024-02-21T16:53:45.833Z</t>
  </si>
  <si>
    <t>erik pearson</t>
  </si>
  <si>
    <t>I have never been so badly treated as I was on early am fri  7/7/26 I was left in the corridor for more than 12 hours with no food drink or medication having to pass urinein front of the public people walking past laughing and joking staff to busy swapping shifts so they can see kids get exam results then moved to a goldfish bowl with door and curtains left open so all on display people standing in doorways watching me, nurses start to do a job then called away and forget you for hours on end if you call them they suck their teeth like it’s an imposition total disregard for patients</t>
  </si>
  <si>
    <t>2026-08-09T16:28:18.459Z</t>
  </si>
  <si>
    <t>M M (Sunlover)</t>
  </si>
  <si>
    <t>Terrible. Very busy. Over 30 hours for a bed for a 90 year old with a fracture. Can't stand this hospital but if you live around Canterbury you have no choice. Some staff were nice others made me wonder why they went in to nursing. Not an empathetic bone in their body!</t>
  </si>
  <si>
    <t>2026-07-20T22:30:55.858Z</t>
  </si>
  <si>
    <t>Svetoslav Stoyanov</t>
  </si>
  <si>
    <t>2025-07-13T05:27:04.941Z</t>
  </si>
  <si>
    <t>sk:n Southampton East Street</t>
  </si>
  <si>
    <t>116-117 East St, Southampton SO14 3HD, United Kingdom</t>
  </si>
  <si>
    <t>Gobi Zark</t>
  </si>
  <si>
    <t>Review for Laser Hair Removal
After seven sessions of laser hair removal, I am extremely disappointed with the results. Despite the promises of smooth skin and permanent hair removal, I still have thick and dense hair. I would not recommend this service and will not be purchasing any more sessions from them.
Another issue is the lack of consistency in their service. Each time, a different person treats me, and they work randomly and without the necessary precision. Only once did one of the staff members mark the areas with a pencil and carefully cover every spot.</t>
  </si>
  <si>
    <t>2024-07-16T09:20:25.674Z</t>
  </si>
  <si>
    <t>Me Contact (Contact Me)</t>
  </si>
  <si>
    <t>They are very unprofessional people. They are concerned about taking your money and don't care about your skin issues.
Three weeks ago, I visited Skin Southampton East Street clinic, and they suggested buying some cream that helps prevent pimples and glow the skin. My skin started getting more pimples and darker using their recommended products. I called a few time to the customer service but have yet to get a response back from the clinic. I also visited the clinic and showed my concern, but they asked me to return when another practitioner (Nikki) around. I requested them to ask her to call me, but I didn't receive a call at all. I called customer service but still waiting for communication to happen. So, here is the concern: Is that the right way to treat skin issues, especially having issues using their products?
Skin treatment should be a more precise way to treat and shouldn't be dealt with as a careless approach.
So, guys, please be careful before visiting and spending your hard-earned money.
Thanks</t>
  </si>
  <si>
    <t>2023-08-30T09:37:45.886Z</t>
  </si>
  <si>
    <t>Rehana Ghalem</t>
  </si>
  <si>
    <t>Turned up to an appointment yesterday only to be greeted with a sign that skn have ceased trading! paid around £700 for a treatment package and havnt had a single treatment, 0 communication from skin/and no way to contact them. £700 practically stolen! Unbelievable!</t>
  </si>
  <si>
    <t>2024-07-19T10:05:50.048Z</t>
  </si>
  <si>
    <t>Daniella Jumaah</t>
  </si>
  <si>
    <t>“I have been a loyal customer of this skin clinic for the past seven years and never had any issues until recently. I paid in cash for eight sessions in advance, but the clinic suddenly closed down due to bankruptcy without giving me any notice or opportunity to claim my money back. This lack of communication and transparency is completely unacceptable. As a long-time customer, I trusted this business, and now I am left without my money or the services I paid for. I am deeply disappointed and urge others to be cautious with companies that fail to protect their customers.”</t>
  </si>
  <si>
    <t>2024-09-20T22:13:44.691Z</t>
  </si>
  <si>
    <t>Sarah Toye</t>
  </si>
  <si>
    <t>I have been chasing for a refund since October 2022 of nearly £500. My card details were taken down in July 2023 for the refund which I have still not received, so I wonder where these card details are now as they were written down? The manager Claudia then said she would chase and get back to me back, in which I never heard back. I have been calling multiple times since then which I have been met with excuses of why Claudia cannot speak to me, to call up today and be told she is now on annual leave until 9th Jan 2024. I put in a refund request in 2022 and will not be receiving the refund until 2024. How can this be acceptable?</t>
  </si>
  <si>
    <t>2023-12-20T10:39:44.355Z</t>
  </si>
  <si>
    <t>SAM DR</t>
  </si>
  <si>
    <t>I was just blown away by one of the receptionists comments made to me, incredibly insultive towards my tattoos and was incredibly judgemental and unprofessional just wow.
I wasn't even there about my tattoos as I love my tattoos and they are done well and not offensive at all they are just flowers 😂</t>
  </si>
  <si>
    <t>2024-11-28T12:54:21.654Z</t>
  </si>
  <si>
    <t>Caz W</t>
  </si>
  <si>
    <t>I made an initial enquiry asking to book a general assessment of my skin for recommendations to be made for what I might need. I was informed that this was not possible at a SKIN clinic…you picked what you wanted and paid for it! When I explained that I wouldn’t know at this point what service I required I was given no further help or advice and it was very clear that this was not a holistic or caring provider. Not impressed!</t>
  </si>
  <si>
    <t>2023-12-07T12:58:34.447Z</t>
  </si>
  <si>
    <t>chloe cramp</t>
  </si>
  <si>
    <t>I’m not one for writing bad reviews, especially given how difficult it has been for businesses during the pandemic. However the quality of care I received after a failed laser attempt at my birthmark removal was beyond poor. First of all, they are impossible to get hold of - I understand this has been challenging because they have been incredibly busy and they have since hired more staff. Maybe things are different now… Secondly, there is NO aftercare post-procedure. This does not bode well with not being able to contact them especially when you are concerned the wound is becoming infected.
I eventually managed to speak to someone from the head office and was called into southampton for another doctor to investigate. This doctor advised strongly against CO2RE lasering for my birthmark (a congenital mole) because of concerns with skin cancer. I was very shocked and extremely concerned that this was not raised to me during my initial consultation. I personally felt like I had not been fully informed about the process was left feeling confused. In actual fact, I cried my eyes out while in the clinic due to feeling misinformed and nobody ever contacted me after to apologise or explain anything. So then I tried to arrange a meeting to discuss this issue several weeks back and have had no reply from anyone at the southampton clinic.
I am so disappointed with this whole process because birthmark removal is a huge decision to make and it is also very expensive. To my knowledge, birthmark removal is the most complex treatment they offer, so you’d think more care and time would be put into the process? I’m also disappointed to have spent £100 on an initial consultation that clearly was not informing me of important details.
As a result, I would not recommend this skn clinic.</t>
  </si>
  <si>
    <t>2021-07-21T09:11:01.607Z</t>
  </si>
  <si>
    <t>Emily</t>
  </si>
  <si>
    <t>If you test positive for Covid within 48 hours of your treatment they wont reschedule your appt and will take the treatment from you instead. I lost out on over £100 due to something completely out of my control.</t>
  </si>
  <si>
    <t>2021-12-23T10:31:52.397Z</t>
  </si>
  <si>
    <t>Rob Brophy</t>
  </si>
  <si>
    <t>I went for tattoo removal. I took me an hour to drive there. first time I went in showed them what I wanted removing, they said ok we will book you in, ok fair enough. I went the second time, it's been sunny and your going to Newcastle we can't do it, ok but hard to swallow. But the women took photos of the area. third time going thinking I'm finally going to get test patched ( like I had at another branch), oh you have spots of tattoo missing from your previous three sittings that I have to send a picture away to a specialist to see, me, but it's getting covered with another tattoo, her, there are other clinics with better machines that would benefit you, oh and if you want test patch it's 50 quid. how about stick it.</t>
  </si>
  <si>
    <t>2018-09-29T14:50:01.939Z</t>
  </si>
  <si>
    <t>Dr Christopher Heaton</t>
  </si>
  <si>
    <t>Chalybeate Cl, Southampton SO16 6UY, United Kingdom</t>
  </si>
  <si>
    <t>+44 20 3965 2995</t>
  </si>
  <si>
    <t>--</t>
  </si>
  <si>
    <t>Waste of time &amp; energy. Didn't even bother to examine my skin during an appointment.</t>
  </si>
  <si>
    <t>2024-10-02T21:17:34.607Z</t>
  </si>
  <si>
    <t>Nadia</t>
  </si>
  <si>
    <t>2022-12-13T13:30:30.541Z</t>
  </si>
  <si>
    <t>Laser Clinics UK – Southampton</t>
  </si>
  <si>
    <t>Su11b, Upper Level, Westquay Shopping Centre, Southampton SO15 1QF, United Kingdom</t>
  </si>
  <si>
    <t>+44 23 8000 2910</t>
  </si>
  <si>
    <t>careers@laserclinics.ca</t>
  </si>
  <si>
    <t>SUBHRA DE</t>
  </si>
  <si>
    <t>I'm extremely disappointed with the laser skin treatment service. I've been a client for 2 years, having multiple treatments, including my recent micro-needling session.
The 1st session showed great results and gave my skin a nice glow. After 6 weeks, I booked a 2nd session, but it didn't go well. My skin's become really dry, and I haven't seen any improvement.
I complained, but it led to follow-up meetings and lengthy explanations that didn't fix my skin. I'm dissatisfied and disappointed. They don't seem to acknowledge the issue.
They claim 2nd-time results never match the first, but isn't that why they recommend multiple sessions?
I've attached pics of both treatments, and it's clear the 1st session had better results. I'm not seeing any difference before and after the 2nd session 😕.
So think twice before you book for your session . Not every team member well trained .</t>
  </si>
  <si>
    <t>2026-04-08T09:35:17.926Z</t>
  </si>
  <si>
    <t>Denice Rivera</t>
  </si>
  <si>
    <t>Location is good, convenient. Prices are reasonable compared to anywhere else around. I've had to reschedule and cancel a few appointments here and there due to childcare reasons. (Was willing to pay cancellation fee for this matter.)
However, I find the lady who's in charge of answering the phone shouldn't be in customer service.</t>
  </si>
  <si>
    <t>2026-03-12T09:25:41.955Z</t>
  </si>
  <si>
    <t>laura pricop</t>
  </si>
  <si>
    <t>Hello, I am very disappointed with your services!! I had two sessions and then, since it was summer and my skin was tanned, I took a break on your recommendation... for two months I was really happy that I could see the beautiful difference but now I have much more hair than I did before the laser hair removal sessions! My money is gone and I have even more hair everywhere, what is the explanation??</t>
  </si>
  <si>
    <t>2025-08-19T07:59:46.842Z</t>
  </si>
  <si>
    <t>A Chandu</t>
  </si>
  <si>
    <t>⭐☆☆☆☆
I had a very disappointing experience today. I booked a laser appointment but fell sick and called to reschedule. The staff were incredibly rude and unhelpful. They insisted I pay a cancellation fee and told me I’d need to book a new appointment by paying again, with no flexibility or understanding of the situation. This was really upsetting and unprofessional. I don’t recommend this clinic at all – customer care is poor and it felt like they were more focused on money than helping clients. Definitely not worth it. Not friendly</t>
  </si>
  <si>
    <t>2025-06-17T19:47:02.406Z</t>
  </si>
  <si>
    <t>Isobel Goddard</t>
  </si>
  <si>
    <t>I feel quite disappointed in the customer service here. I booked online and went in for my treatment on the same day (which was great!). However, my appointment time was looming and can't just pop to West Quay last minute, due to the drive in taking some time. I was still awaiting confirmation that my treatment could go ahead, so had to phone in to get the confirmation that I should have received via email.
The treatment itself was okay; not much support to make the experience comfortable. It felt a bit rushed and, from my perspective, I thought I saw some smirking looks directed towards me when I was discussing my body (however, of course that is just my perspective...). But the treatment was fine overall and results lasted a couple weeks.
After my treatment, I went to the main reception to book some treatments again. I did not feel listened to at all. I verbalised the treatments I wanted, but the staff kept selecting the wrong ones on their system/selecting the incorrect number of treatments requested and the price kept going up. So I had to continue correcting them and repeating the desired (intimate) treatments in a busy waiting room. Furthermore, they kept reading out what I wanted/what they kept trying to book me in for (against my request,) out loud. This all felt quite embarrassing, considering the busyness. I do wonder if she was trying to book me in for additional treatments just to get more money from me... I think, if she had her own recommendations and considerations for what I might like and how many treatments, surely this could have been discussed with me before she tried booking me in for them without explanation?? And in the treatment room before I went out to rebook, to avoid such a discussion in front of strangers?
The lady serving me requested support from the manager, which was all fine and done to support me in booking my treatments, which was good of her. But he did not address me at all. He just spoke to the other staff about what I wanted e.g. "what does the lady want?". I felt slightly frustrated over this, as booking in again appeared far more complex than I think it should have been. Though perhaps he had his own anxieties around customer service and struggled to look at me/interact with me directly... who knows!
In OCTOBER, I had to cancel my second appointment due to an unexpected family emergency. I have been trying to contact the clinic since, in order to rebook. I've heard nothing. I have paid for the treatments already, too. Feels like all they care for is money and not supporting their customers to feel more confident in their bodies, and offering a positive, client-centred service. I work Mon-Fri and weekends are typically busy for me, so don't have the opportunity to go to West Quay often, just to go into the store to ask where the responses to my contact attempts are!
Please can somebody get back to me about the incomplete treatments I have paid for, and when I might be able to rebook. It's been three+ months now.</t>
  </si>
  <si>
    <t>2024-01-21T14:43:44.550Z</t>
  </si>
  <si>
    <t>Марія Чопик</t>
  </si>
  <si>
    <t>I was in the branch in time for my appointment , but nevertheless I was rushed, and wasn’t given almost any time time to change before my appointment starter.
Secondly every time appointment is with a different specialist which is not comfortable as well as the fact that they don’t know what intensity of laser treatment they used last time, everyone gives different recommendations and trying to get through appointment so quickly that I don’t think it’s actually effective. I have done 8 courses or more and I don’t see results what I was promised
I wouldn’t recommend this to any of my friends</t>
  </si>
  <si>
    <t>2024-07-19T11:41:33.038Z</t>
  </si>
  <si>
    <t>Imola Andrea Szekely</t>
  </si>
  <si>
    <t>Avoid this place, laser has no any effect mostly because the therapist are doing quickly, full body in like 10 min and manager is very unprofessional. When I told her I don’t want to go there anymore as I am not happy with their services she even raised her voice by telling me I signed the contract. Oh yes I did but with the hope that I will be in the hands of a professional team and I will see some results. She even proposed me to sell my sessions to my friends and basically lie to them oh hey buy my sessions, they don’t do it properly and there is no any effect but buy it.
No way that I will let them get away with 4 session that I don’t attend as they just want to do it quickly and when you don’t look they jump places.
The worst customer service ever and all they care to take your money and promise the moon.
Many other places and effective result with a very professional team.
Make yourself a favor and run from this place.</t>
  </si>
  <si>
    <t>2023-11-30T18:01:51.930Z</t>
  </si>
  <si>
    <t>L B</t>
  </si>
  <si>
    <t>If I could rate this much lower, I would. It is unfortunate that I’m having to leave a negative review but this incident was not dealt with professionally or at all for that matter. First, I’m aware this review will receive a negative response from the owner of this clinic like almost all of the 1 stars reviews they’ve received and they have shown in numerous occasions that they are always right and anything else is unacceptable. I’d like to clarify that I’ve not had any issues with my previous appointments except from the fact that I literally have a new laser ‘therapist’ in almost every single appointment I’ve had with them so privacy or consistency for intimate areas is out the window. High staff turnover should’ve been a red flag already and even if I requested the same person to do my appointment, this would not have been possible.
My most recent experience resulted in my right eyebrow being burnt. When I contacted them about this, the owner Joe picked up the phone and it sounded like he didn’t know what I expected them to do about this. I informed them to ask for advice and he asked for me to send an email with pictures as I was unable to go in to have them look at it due to work commitments. I felt it was only right to inform them of a mistake that the therapist had made and it was fair to request a refund to rectify this. I didn’t hear back from them till almost a week later. After my appointment, I started to feel sensitivity and soreness all over my face (specifically, the areas that had laser hair removal). I gave them the benefit of the doubt because this was a treatment that involved laser therefore SOME discomfort is to be expected but is rare. This went on for days and became progressively worse. My face because painfully sore, it looked dry and also looked like my skin was sagging. The affected areas felt very warm to touch and would continue like this for literally days. It was red and was the most intense discomfort I’ve ever felt on my face. I couldn’t clean it like before or put anything else on it. I didn’t hear back from them until I pushed for an update. I asked my GP and other laser clinics for advice because I didn’t hear back from them and I was very concerned and anxious about my face. Both confirmed my face was burnt by the laser. When the owner finally got in touch, they were ‘concerned’ that I had gotten in touch with another clinic. They asked me multiple times to come to the clinic even AFTER I’ve explained to them how anxious I was due to mistake they caused. I sent them very detailed description and MULTIPLE pictures for reference. There was no accountability on their end and not even an ounce of empathy or respect when spoken to on the phone. This back and forth went on for almost a month. All I requested for was a refund for that specific treatment. I didn’t receive this and they have stopped replying. I could not emphasise enough the distress this caused and even the impact it had on my confidence. All before and after care were followed as they advised. A new laser therapist was doing my appointment that day. I did nothing different before or after my appointment, including any changes to my face wash, moisturiser etc. My biggest advice to you - READ THE 1 STAR REVIEWS AND DO NOT COME HERE.</t>
  </si>
  <si>
    <t>2024-07-11T21:57:35.899Z</t>
  </si>
  <si>
    <t>Grace Smith</t>
  </si>
  <si>
    <t>I paid up front in bulk for 8 sessions of underarms, Brazilian and full legs. My first two appointments with Jodie and Holly (I think) were great.
Next I had 4 appointments with Shima - everytime she would say “you’ve been tanning” and point to my legs, to which I would reply “nope, any tan lines I have are from July” she would reply “hmm” in a way which made me feel like I was being called a liar. She refused to do my feet and toes, she said this was not included in full legs, absolutely fine if this is true but she was the only person who said this.  I have had 8 session and my feet and toes have only been done 4 times. I then had a blonde lady who was really lovely and thorough on all areas!
My last appointment was with Aga who completely rushed my appointment. This was the only session I flinched because of the pain, of which she almost laughed and said “only a few more”, on my Brazilian she didn’t  use the wooden sticks to get into all the areas. The day after my skin was purple and is now yellow which looks like bruising - photos attached. Disappointed that only 3 out of 8 sessions were to a great standard after travelling all the way from Portsmouth every 4 weeks.</t>
  </si>
  <si>
    <t>2024-03-20T21:45:50.364Z</t>
  </si>
  <si>
    <t>Nayara Jakilin</t>
  </si>
  <si>
    <t>I do not recommend this clinic because I putained almost 2000£ and nothing changed I did 8 sessions and my hair grows as before are the worst.</t>
  </si>
  <si>
    <t>2025-12-02T18:07:54.447Z</t>
  </si>
  <si>
    <t>Christchurch Hospital</t>
  </si>
  <si>
    <t>Fairmile Rd, Christchurch BH23 2JX, United Kingdom</t>
  </si>
  <si>
    <t>+44 1202 486361</t>
  </si>
  <si>
    <t>Jacky Smith</t>
  </si>
  <si>
    <t>My husband has been told by the Bournemouth Hospital to get a blood test at Christchurch Hospital. He has all the relevant paper work ready.  It is impossible to make an appointment. A recorded message says there is no one to answer the call.  He went into Christchurch Hospital to ask about it. The reception there don't know why the phone is not being answered. So - no one, it seems, can book a blood test at Christchurch.  This is very bad service when doctors and other hospitals are directing patients there.</t>
  </si>
  <si>
    <t>2026-05-07T12:48:51.957Z</t>
  </si>
  <si>
    <t>Celia Kenyon</t>
  </si>
  <si>
    <t>I needed an xray on my knee and it took a week to get an appointment.  I am still waiting two weeks later for the results which still haven't been looked at according to the person I spoke to today. I have been in pain day and night for a month now and have also left messages with the Rhuematology department who have not replied. Rubbish patient care!</t>
  </si>
  <si>
    <t>2025-04-16T15:14:05.668Z</t>
  </si>
  <si>
    <t>Paul Bowen</t>
  </si>
  <si>
    <t>Walked through the doors at 11.45am ( according to the clock in reception ! ) for my 11.45 appointment.   Stroppy receptionist  said " he's already been out looking for you ". I pointed to the clock and said "I am not late according to your clock " She replied " well, my computer says 11.47". Please replace with someone that is polite and sociable., people are not there out of choice.</t>
  </si>
  <si>
    <t>2024-11-11T16:12:03.671Z</t>
  </si>
  <si>
    <t>Don’t “Picky eater” Bother me !</t>
  </si>
  <si>
    <t>Just turned up to my appointment to be told it’s cancelled. No call to tell me it’s cancelled nothing. So I then go to re book further appointments only to be told that my next confirmed appointment is actually a bank holiday and won’t take place !
Great team effort guys !</t>
  </si>
  <si>
    <t>2024-08-23T10:03:20.469Z</t>
  </si>
  <si>
    <t>Andrew Swinbourne</t>
  </si>
  <si>
    <t>NHS site says 3 mins free parking... nothing on the machine in the middle of the car park about free time. I paid £2.60 by card (no cash option and no pay by phone option - machines have been changed and prices increased from April) and was in and out in 10 mins. I'd happily pay a quid for 10 mins, but £2.60.....</t>
  </si>
  <si>
    <t>2024-06-10T14:43:40.372Z</t>
  </si>
  <si>
    <t>Charlie Williams</t>
  </si>
  <si>
    <t>Filthy dirty,inept and indifferent care standards. Criminal.</t>
  </si>
  <si>
    <t>2022-04-26T11:52:05.547Z</t>
  </si>
  <si>
    <t>George Bennett</t>
  </si>
  <si>
    <t>Great staff so professional ☺️</t>
  </si>
  <si>
    <t>2022-01-12T21:19:15.042Z</t>
  </si>
  <si>
    <t>Oliver Wildey</t>
  </si>
  <si>
    <t>Cafe person was moody</t>
  </si>
  <si>
    <t>2024-09-12T12:27:31.657Z</t>
  </si>
  <si>
    <t>Louise</t>
  </si>
  <si>
    <t>Calling their arthritis advice line for over a week multiple times and can't get any help or answer and have no other way to contact them. Please rethink your system, I really need help and advice</t>
  </si>
  <si>
    <t>2026-07-06T08:12:48.021Z</t>
  </si>
  <si>
    <t>Karen Allen</t>
  </si>
  <si>
    <t>My partner’s experience was awful, he had a skin cancer appointment last Sunday, firstly he was given a first come first serve, then he was sent an appointment for 4 pm . He chose to go on his own because he thought it would be straightforward as most of those ongoing treatments are. He came home bleeding and still has a lump  . Not good is it</t>
  </si>
  <si>
    <t>2026-06-26T23:13:15.148Z</t>
  </si>
  <si>
    <t>Avanthills Medical Aesthetics, Skin and Laser Clinic</t>
  </si>
  <si>
    <t>34 Widworthy Dr, Broadstone, Poole, Broadstone BH18 9BD, United Kingdom</t>
  </si>
  <si>
    <t>+44 7792 354776</t>
  </si>
  <si>
    <t>Michelle@avanthills.co.uk</t>
  </si>
  <si>
    <t>Rory Maton-Feline</t>
  </si>
  <si>
    <t>Booked on website. Excited to talk through what i needed help with. Went on for zoom call. Michelle didnt login for our call. After ten minites I called, no answer. Left a voicemail. Got an email later, assume auto generated to say reply with any feedback or additional requests and ive emailed that, to get a postmaster reply saying undeliverable.. Not great. (if i get a response, ill be happy to amend this)</t>
  </si>
  <si>
    <t>2023-02-02T18:59:54.146Z</t>
  </si>
  <si>
    <t>Sophie</t>
  </si>
  <si>
    <t>I had a consultation which went really well, however when I went to book I was ignored on all platforms. I emailed, messaged through the website, the instagram and the mobile number and got no response. Not sure why I was ‘ghosted’ a simple message to say they could not do the treatment would have been more polite.</t>
  </si>
  <si>
    <t>2024-01-31T19:50:27.434Z</t>
  </si>
  <si>
    <t>Fanshawe Wing</t>
  </si>
  <si>
    <t>Brintons Terrace, Southampton SO14 0YG, United Kingdom</t>
  </si>
  <si>
    <t>+44 23 8063 4288</t>
  </si>
  <si>
    <t>Daniel Scott</t>
  </si>
  <si>
    <t>Wrong advice given. The triage advised a medication that could be bought over the counter. However speaking to five pharmacy’s they all refused to sell it over the counter and insisted on needing a prescription. So now we need to go through it all again. I’m very unhappy.</t>
  </si>
  <si>
    <t>2026-05-30T15:07:24.397Z</t>
  </si>
  <si>
    <t>Manuel Buitrago</t>
  </si>
  <si>
    <t>Long wait (3 hours) to consult five minutes an indifferent, patronising, and gaslighting doctor. Avoid.</t>
  </si>
  <si>
    <t>2022-05-22T23:01:47.736Z</t>
  </si>
  <si>
    <t>Fiona Langdown</t>
  </si>
  <si>
    <t>Needs updating</t>
  </si>
  <si>
    <t>2020-01-02T13:04:40.157Z</t>
  </si>
  <si>
    <t>Nice1M8ty</t>
  </si>
  <si>
    <t>Waited a painstakingly long time (2 hours) with regards to an ankle problem. Had to leave in the end untreated.</t>
  </si>
  <si>
    <t>2025-12-23T01:37:21.907Z</t>
  </si>
  <si>
    <t>Mark Collyer</t>
  </si>
  <si>
    <t>One of the many places in Southampton that nobody wishes to visit, however this is more popular than Below bar.</t>
  </si>
  <si>
    <t>2020-03-06T14:47:10.971Z</t>
  </si>
  <si>
    <t>Ayesha Ahmad Sumi</t>
  </si>
  <si>
    <t>Long wait even though they always try their best...Maybe recruiting more staff might help.</t>
  </si>
  <si>
    <t>2019-03-08T00:47:14.708Z</t>
  </si>
  <si>
    <t>Debra Wyeth</t>
  </si>
  <si>
    <t>Has a lovely little place for a bite to eat or a drink.</t>
  </si>
  <si>
    <t>2018-08-12T10:33:18.491Z</t>
  </si>
  <si>
    <t>James Collins</t>
  </si>
  <si>
    <t>2025-12-20T19:11:21.104Z</t>
  </si>
  <si>
    <t>Hardeep Pal</t>
  </si>
  <si>
    <t>2020-02-18T13:27:28.282Z</t>
  </si>
  <si>
    <t>Igor Skit</t>
  </si>
  <si>
    <t>2020-01-06T15:36:39.196Z</t>
  </si>
  <si>
    <t>Cathedral Dermatology</t>
  </si>
  <si>
    <t>1 Boucher Cres, Belfast BT12 6HU, United Kingdom</t>
  </si>
  <si>
    <t>+44 28 9032 2020</t>
  </si>
  <si>
    <t>info@cathedraldermatology.com</t>
  </si>
  <si>
    <t>Amanda Pollock</t>
  </si>
  <si>
    <t>Avoid! Once you have a consultation you are then expected to pay a further £200 for a prescription. Therefore on top of your consultation, which will be £275, your visit will cost in the region of £500.</t>
  </si>
  <si>
    <t>2026-02-13T11:15:00.200Z</t>
  </si>
  <si>
    <t>TDOBBER</t>
  </si>
  <si>
    <t>Extremely poor performance. I had more knowledge of the skin complaint than the doctor did. All he seemed to be interested in was selling further products. And when it came to the written report, my child could have produced better. Extremely lacking in content and this doctor must be competing against fellow doctors for the most unreadable handwriting uk awards.</t>
  </si>
  <si>
    <t>2026-03-25T17:25:06.092Z</t>
  </si>
  <si>
    <t>Orthoderm Private Medical Clinic</t>
  </si>
  <si>
    <t>2 Ballynahinch Rd, Royal Hillsborough, Hillsborough BT26 6AR, United Kingdom</t>
  </si>
  <si>
    <t>+44 28 9268 0940</t>
  </si>
  <si>
    <t>Mark Mcmichael</t>
  </si>
  <si>
    <t>Spent nearly 2 hours driving for an NHS appointment for my partner. For a 5min appointment to be told my partners migraines were “in her head” and referred us to a 5 min YouTube video.
I’ve seen a good few reviews from NHS patients getting bad service and discharged so I’m guessing they get paid more for getting you off the waiting list, not for providing actual treatment.</t>
  </si>
  <si>
    <t>2026-02-23T00:11:25.567Z</t>
  </si>
  <si>
    <t>Siebe Wynberg</t>
  </si>
  <si>
    <t>Had an appointment with dermatologist Hari Reddy. Was there via the NHS to check possible melanoma. Shirt off, five seconds later shirt back on and without looking at me tells me to pick up a leaflet where everything will be explained. Out the door within two minutes. Probably charges the NHS over £200 for his precious two minutes. Just coasting through the appointments…</t>
  </si>
  <si>
    <t>2025-11-12T11:20:17.580Z</t>
  </si>
  <si>
    <t>Inga Niedre</t>
  </si>
  <si>
    <t>Unless you are in the top 10% income bracket, stay away from this place! You will be scammed. My 20-minute appointment ended up costing me half of my salary. Initially, I was informed that the visit with the gynecologist would be £200. However, during my 20-minute appointment, I was offered a scan and an endometrial biopsy without any mention of additional costs or their amounts.
To my shock, the total bill was £560 – the biopsy cost £200, the scan was £100, and the appointment itself was £260. I was heartbroken and felt truly cheated. There was no transparency about the pricing, and I was left with an exorbitant bill. I strongly advise against visiting this clinic unless you have money to spare.</t>
  </si>
  <si>
    <t>2024-06-20T14:18:08.477Z</t>
  </si>
  <si>
    <t>Frankie Denny</t>
  </si>
  <si>
    <t>Appalling service. Waited 45 minutes for my procedure. Consultant did not introduce himself, was patronising, aloof and downright rude. Kept calling me "pet". Asked me why I was there when asking my symptoms. I said in disbelief that my GP referred me (NHS patient). I left the clinic in tears, extremely shook up and emotional. Never have I been treated like that before in my life by a medic. Will be informing my GP and making a formal complaint.</t>
  </si>
  <si>
    <t>2023-09-18T19:30:16.035Z</t>
  </si>
  <si>
    <t>andy newhouse</t>
  </si>
  <si>
    <t>I wish I had looked up the reviews,
I was travelling 75 miles told reception   on the phone I was running late due to traffic, she said that's OK come ahead, when I got there I was asked where I had come from and I told them, they lady was rude enough to say has it moved then leave me 10 minutes, to be told I have to re-book for another time, nothing was said when I went to Belfast to see the same consultant, and he was 50 minutes late.
at this age of 60 I have never been turned away in my life for being a little late in any establishment, they think they are the gods, manners cost nothing and if you don't have them maybe go and aquire some, all in all pure disgraceful towards customers no stars out of 1000</t>
  </si>
  <si>
    <t>2024-06-10T17:56:44.626Z</t>
  </si>
  <si>
    <t>Diana Kane</t>
  </si>
  <si>
    <t>Very disappointed and angry by the procedure I got there for dark age spots on my face..sent by my doctor. Wasnt warned by the consulant I would end up with blisters and burns..I would never have agreed to this treatment if it had been explained properly to me..when I spoke to the consulant yesterday she tried to tell me she explained this..lies</t>
  </si>
  <si>
    <t>2018-11-01T07:22:28.641Z</t>
  </si>
  <si>
    <t>Brenda Dowie</t>
  </si>
  <si>
    <t>2025-08-14T12:34:14.974Z</t>
  </si>
  <si>
    <t>Jack</t>
  </si>
  <si>
    <t>2023-03-22T07:48:12.508Z</t>
  </si>
  <si>
    <t>Helen Miskelly</t>
  </si>
  <si>
    <t>2021-04-09T18:40:13.620Z</t>
  </si>
  <si>
    <t>CM Johnston</t>
  </si>
  <si>
    <t>A family member went here and it was a pretty odd experience.
The communications tended to be a bit officious and snippy, the welcome itself was pretty cold, the waiting area felt fairly tatty and had a filthy coffee area, the consultant barely spoke to my family member and the overall ‘conveyor belt’ experience felt indifferent to the fact that the people being treated are human beings not objects.
Strongly suggest a root and branch review of customer communications and visitor experience.</t>
  </si>
  <si>
    <t>2025-11-17T18:21:58.323Z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</si>
</sst>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8"/>
  <sheetViews>
    <sheetView tabSelected="1" workbookViewId="0"/>
  </sheetViews>
  <sheetFormatPr defaultRowHeight="15"/>
  <cols>
    <col min="1" max="1" width="59.7109375" customWidth="1"/>
    <col min="2" max="2" width="92.7109375" customWidth="1"/>
    <col min="3" max="3" width="19.7109375" customWidth="1"/>
    <col min="4" max="4" width="32.7109375" customWidth="1"/>
    <col min="5" max="5" width="16.7109375" customWidth="1"/>
    <col min="6" max="6" width="18.7109375" customWidth="1"/>
    <col min="7" max="7" width="34.7109375" customWidth="1"/>
    <col min="8" max="8" width="15.7109375" customWidth="1"/>
    <col min="9" max="9" width="3614.7109375" customWidth="1"/>
    <col min="10" max="10" width="27.7109375" customWidth="1"/>
    <col min="11" max="11" width="14.7109375" customWidth="1"/>
    <col min="12" max="12" width="21.7109375" customWidth="1"/>
  </cols>
  <sheetData>
    <row r="1" spans="1:12" ht="26" customHeight="1">
      <c r="A1" s="1" t="s">
        <v>0</v>
      </c>
      <c r="B1" s="1" t="s">
        <v>1</v>
      </c>
      <c r="C1" s="1" t="s">
        <v>2</v>
      </c>
      <c r="D1" s="1" t="s">
        <v>3</v>
      </c>
      <c r="E1" s="1" t="s">
        <v>4</v>
      </c>
      <c r="F1" s="1" t="s">
        <v>5</v>
      </c>
      <c r="G1" s="1" t="s">
        <v>6</v>
      </c>
      <c r="H1" s="1" t="s">
        <v>7</v>
      </c>
      <c r="I1" s="1" t="s">
        <v>8</v>
      </c>
      <c r="J1" s="1" t="s">
        <v>9</v>
      </c>
      <c r="K1" s="1" t="s">
        <v>10</v>
      </c>
      <c r="L1" s="1" t="s">
        <v>11</v>
      </c>
    </row>
    <row r="2" spans="1:12" ht="20" customHeight="1">
      <c r="A2" s="2" t="s">
        <v>12</v>
      </c>
      <c r="B2" s="2" t="s">
        <v>13</v>
      </c>
      <c r="C2" s="2" t="s">
        <v>14</v>
      </c>
      <c r="D2" s="2" t="s">
        <v>15</v>
      </c>
      <c r="E2" s="3">
        <f>HYPERLINK("https://www.theharleystreetdermatologyclinic.co.uk/?utm_source=google&amp;utm_medium=GMB&amp;utm_campaign=GoogleMyBusiness", "Visit Website")</f>
        <v>0</v>
      </c>
      <c r="F2" s="4">
        <v>4.3</v>
      </c>
      <c r="G2" s="5" t="s">
        <v>16</v>
      </c>
      <c r="H2" s="4">
        <v>1</v>
      </c>
      <c r="I2" s="2" t="s">
        <v>17</v>
      </c>
      <c r="J2" s="4" t="s">
        <v>18</v>
      </c>
      <c r="K2" s="3" t="str">
        <f>HYPERLINK("https://www.google.com/maps/reviews/data=!4m8!14m7!1m6!2m5!1sCi9DQUlRQUNvZENodHljRjlvT21oVmJXWldSVzFKT0dGb1F6UkpjVlJpWHpCa2VrRRAB!2m1!1s0x0:0xdf770371ec4c1968!3m1!1s2@1:CAIQACodChtycF9oOmhVbWZWRW1JOGFoQzRJcVRiXzBkekE%7C%7C?hl=en", "View Link")</f>
        <v>View Link</v>
      </c>
      <c r="L2" s="3">
        <f>HYPERLINK("https://www.google.com/maps/search/?api=1&amp;query=The%20Harley%20Street%20Dermatology%20Clinic&amp;query_place_id=ChIJwY7TH9EadkgRaBlM7HEDd98", "Open Map")</f>
        <v>0</v>
      </c>
    </row>
    <row r="3" spans="1:12" ht="20" customHeight="1">
      <c r="A3" s="2"/>
      <c r="B3" s="2"/>
      <c r="C3" s="2"/>
      <c r="D3" s="2"/>
      <c r="E3" s="3"/>
      <c r="F3" s="4"/>
      <c r="G3" s="5" t="s">
        <v>19</v>
      </c>
      <c r="H3" s="4">
        <v>1</v>
      </c>
      <c r="I3" s="2" t="s">
        <v>20</v>
      </c>
      <c r="J3" s="4" t="s">
        <v>21</v>
      </c>
      <c r="K3" s="3" t="str">
        <f>HYPERLINK("https://www.google.com/maps/reviews/data=!4m8!14m7!1m6!2m5!1sCi9DQUlRQUNvZENodHljRjlvT2tNeFRYTlZOREptWkVWcFIwSmxSazB3VmpKTVJIYxAB!2m1!1s0x0:0xdf770371ec4c1968!3m1!1s2@1:CAIQACodChtycF9oOkMxTXNVNDJmZEVpR0JlRk0wVjJMRHc%7C%7C?hl=en", "View Link")</f>
        <v>View Link</v>
      </c>
      <c r="L3" s="3"/>
    </row>
    <row r="4" spans="1:12" ht="20" customHeight="1">
      <c r="A4" s="2"/>
      <c r="B4" s="2"/>
      <c r="C4" s="2"/>
      <c r="D4" s="2"/>
      <c r="E4" s="3"/>
      <c r="F4" s="4"/>
      <c r="G4" s="5" t="s">
        <v>22</v>
      </c>
      <c r="H4" s="4">
        <v>1</v>
      </c>
      <c r="I4" s="2" t="s">
        <v>23</v>
      </c>
      <c r="J4" s="4" t="s">
        <v>24</v>
      </c>
      <c r="K4" s="3" t="str">
        <f>HYPERLINK("https://www.google.com/maps/reviews/data=!4m8!14m7!1m6!2m5!1sCi9DQUlRQUNvZENodHljRjlvT2pSTWNqUm9RMEZUY2pSMlowSkhWamhOV2xGM1RFRRAB!2m1!1s0x0:0xdf770371ec4c1968!3m1!1s2@1:CAIQACodChtycF9oOjRMcjRoQ0FTcjR2Z0JHVjhNWlF3TEE%7C%7C?hl=en", "View Link")</f>
        <v>View Link</v>
      </c>
      <c r="L4" s="3"/>
    </row>
    <row r="5" spans="1:12" ht="20" customHeight="1">
      <c r="A5" s="2"/>
      <c r="B5" s="2"/>
      <c r="C5" s="2"/>
      <c r="D5" s="2"/>
      <c r="E5" s="3"/>
      <c r="F5" s="4"/>
      <c r="G5" s="5" t="s">
        <v>25</v>
      </c>
      <c r="H5" s="4">
        <v>1</v>
      </c>
      <c r="I5" s="2" t="s">
        <v>26</v>
      </c>
      <c r="J5" s="4" t="s">
        <v>27</v>
      </c>
      <c r="K5" s="3" t="str">
        <f>HYPERLINK("https://www.google.com/maps/reviews/data=!4m8!14m7!1m6!2m5!1sChZDSUhNMG9nS0VJQ0FnSUN2a2R1X0VREAE!2m1!1s0x0:0xdf770371ec4c1968!3m1!1s2@1:CIHM0ogKEICAgICvkdu_EQ%7C%7C?hl=en", "View Link")</f>
        <v>View Link</v>
      </c>
      <c r="L5" s="3"/>
    </row>
    <row r="6" spans="1:12" ht="20" customHeight="1">
      <c r="A6" s="2"/>
      <c r="B6" s="2"/>
      <c r="C6" s="2"/>
      <c r="D6" s="2"/>
      <c r="E6" s="3"/>
      <c r="F6" s="4"/>
      <c r="G6" s="5" t="s">
        <v>28</v>
      </c>
      <c r="H6" s="4">
        <v>1</v>
      </c>
      <c r="I6" s="2" t="s">
        <v>29</v>
      </c>
      <c r="J6" s="4" t="s">
        <v>30</v>
      </c>
      <c r="K6" s="3" t="str">
        <f>HYPERLINK("https://www.google.com/maps/reviews/data=!4m8!14m7!1m6!2m5!1sChdDSUhNMG9nS0VJQ0FnSUNQcEs2M2lnRRAB!2m1!1s0x0:0xdf770371ec4c1968!3m1!1s2@1:CIHM0ogKEICAgICPpK63igE%7C%7C?hl=en", "View Link")</f>
        <v>View Link</v>
      </c>
      <c r="L6" s="3"/>
    </row>
    <row r="7" spans="1:12" ht="20" customHeight="1">
      <c r="A7" s="2"/>
      <c r="B7" s="2"/>
      <c r="C7" s="2"/>
      <c r="D7" s="2"/>
      <c r="E7" s="3"/>
      <c r="F7" s="4"/>
      <c r="G7" s="5" t="s">
        <v>31</v>
      </c>
      <c r="H7" s="4">
        <v>1</v>
      </c>
      <c r="I7" s="2" t="s">
        <v>32</v>
      </c>
      <c r="J7" s="4" t="s">
        <v>33</v>
      </c>
      <c r="K7" s="3" t="str">
        <f>HYPERLINK("https://www.google.com/maps/reviews/data=!4m8!14m7!1m6!2m5!1sChdDSUhNMG9nS0VJQ0FnSUNPME9HODNRRRAB!2m1!1s0x0:0xdf770371ec4c1968!3m1!1s2@1:CIHM0ogKEICAgICO0OG83QE%7C%7C?hl=en", "View Link")</f>
        <v>View Link</v>
      </c>
      <c r="L7" s="3"/>
    </row>
    <row r="8" spans="1:12" ht="20" customHeight="1">
      <c r="A8" s="2"/>
      <c r="B8" s="2"/>
      <c r="C8" s="2"/>
      <c r="D8" s="2"/>
      <c r="E8" s="3"/>
      <c r="F8" s="4"/>
      <c r="G8" s="5" t="s">
        <v>34</v>
      </c>
      <c r="H8" s="4">
        <v>1</v>
      </c>
      <c r="I8" s="2" t="s">
        <v>35</v>
      </c>
      <c r="J8" s="4" t="s">
        <v>36</v>
      </c>
      <c r="K8" s="3" t="str">
        <f>HYPERLINK("https://www.google.com/maps/reviews/data=!4m8!14m7!1m6!2m5!1sChZDSUhNMG9nS0VJQ0FnSUNSMkk2SlF3EAE!2m1!1s0x0:0xdf770371ec4c1968!3m1!1s2@1:CIHM0ogKEICAgICR2I6JQw%7C%7C?hl=en", "View Link")</f>
        <v>View Link</v>
      </c>
      <c r="L8" s="3"/>
    </row>
    <row r="9" spans="1:12" ht="20" customHeight="1">
      <c r="A9" s="2"/>
      <c r="B9" s="2"/>
      <c r="C9" s="2"/>
      <c r="D9" s="2"/>
      <c r="E9" s="3"/>
      <c r="F9" s="4"/>
      <c r="G9" s="5" t="s">
        <v>37</v>
      </c>
      <c r="H9" s="4">
        <v>1</v>
      </c>
      <c r="I9" s="2" t="s">
        <v>38</v>
      </c>
      <c r="J9" s="4" t="s">
        <v>39</v>
      </c>
      <c r="K9" s="3" t="str">
        <f>HYPERLINK("https://www.google.com/maps/reviews/data=!4m8!14m7!1m6!2m5!1sChZDSUhNMG9nS0VJQ0FnSUMwcFlUYlR3EAE!2m1!1s0x0:0xdf770371ec4c1968!3m1!1s2@1:CIHM0ogKEICAgIC0pYTbTw%7C%7C?hl=en", "View Link")</f>
        <v>View Link</v>
      </c>
      <c r="L9" s="3"/>
    </row>
    <row r="10" spans="1:12" ht="20" customHeight="1">
      <c r="A10" s="2"/>
      <c r="B10" s="2"/>
      <c r="C10" s="2"/>
      <c r="D10" s="2"/>
      <c r="E10" s="3"/>
      <c r="F10" s="4"/>
      <c r="G10" s="5" t="s">
        <v>40</v>
      </c>
      <c r="H10" s="4">
        <v>1</v>
      </c>
      <c r="I10" s="2" t="s">
        <v>41</v>
      </c>
      <c r="J10" s="4" t="s">
        <v>42</v>
      </c>
      <c r="K10" s="3" t="str">
        <f>HYPERLINK("https://www.google.com/maps/reviews/data=!4m8!14m7!1m6!2m5!1sChdDSUhNMG9nS0VJQ0FnSUNlc2Ryc3R3RRAB!2m1!1s0x0:0xdf770371ec4c1968!3m1!1s2@1:CIHM0ogKEICAgICesdrstwE%7C%7C?hl=en", "View Link")</f>
        <v>View Link</v>
      </c>
      <c r="L10" s="3"/>
    </row>
    <row r="11" spans="1:12" ht="20" customHeight="1">
      <c r="A11" s="2"/>
      <c r="B11" s="2"/>
      <c r="C11" s="2"/>
      <c r="D11" s="2"/>
      <c r="E11" s="3"/>
      <c r="F11" s="4"/>
      <c r="G11" s="5" t="s">
        <v>43</v>
      </c>
      <c r="H11" s="4">
        <v>1</v>
      </c>
      <c r="I11" s="2" t="s">
        <v>44</v>
      </c>
      <c r="J11" s="4" t="s">
        <v>45</v>
      </c>
      <c r="K11" s="3" t="str">
        <f>HYPERLINK("https://www.google.com/maps/reviews/data=!4m8!14m7!1m6!2m5!1sChdDSUhNMG9nS0VJQ0FnSURibXA3dDhnRRAB!2m1!1s0x0:0xdf770371ec4c1968!3m1!1s2@1:CIHM0ogKEICAgIDbmp7t8gE%7C%7C?hl=en", "View Link")</f>
        <v>View Link</v>
      </c>
      <c r="L11" s="3"/>
    </row>
    <row r="12" spans="1:12" ht="20" customHeight="1">
      <c r="A12" s="2" t="s">
        <v>46</v>
      </c>
      <c r="B12" s="2" t="s">
        <v>47</v>
      </c>
      <c r="C12" s="2" t="s">
        <v>14</v>
      </c>
      <c r="D12" s="2" t="s">
        <v>48</v>
      </c>
      <c r="E12" s="3">
        <f>HYPERLINK("https://stratumclinics.com/clinics/wimbledonandraynespark/?utm_source=GMBWim&amp;utm_medium=GMB&amp;utm_campaign=Google%20My%20Business", "Visit Website")</f>
        <v>0</v>
      </c>
      <c r="F12" s="4">
        <v>4.2</v>
      </c>
      <c r="G12" s="5" t="s">
        <v>49</v>
      </c>
      <c r="H12" s="4">
        <v>1</v>
      </c>
      <c r="I12" s="2" t="s">
        <v>50</v>
      </c>
      <c r="J12" s="4" t="s">
        <v>51</v>
      </c>
      <c r="K12" s="3" t="str">
        <f>HYPERLINK("https://www.google.com/maps/reviews/data=!4m8!14m7!1m6!2m5!1sChdDSUhNMG9nS0VJQ0FnTURvbWVUaC13RRAB!2m1!1s0x0:0x35908ee5dc536387!3m1!1s2@1:CIHM0ogKEICAgMDomeTh-wE%7C%7C?hl=en", "View Link")</f>
        <v>View Link</v>
      </c>
      <c r="L12" s="3">
        <f>HYPERLINK("https://www.google.com/maps/search/?api=1&amp;query=Stratum%20Dermatology%20Clinic%20Wimbledon%20%26%20Raynes%20Park&amp;query_place_id=ChIJM_MUKTQJdkgRh2NT3OWOkDU", "Open Map")</f>
        <v>0</v>
      </c>
    </row>
    <row r="13" spans="1:12" ht="20" customHeight="1">
      <c r="A13" s="2"/>
      <c r="B13" s="2"/>
      <c r="C13" s="2"/>
      <c r="D13" s="2"/>
      <c r="E13" s="3"/>
      <c r="F13" s="4"/>
      <c r="G13" s="5" t="s">
        <v>52</v>
      </c>
      <c r="H13" s="4">
        <v>1</v>
      </c>
      <c r="I13" s="2" t="s">
        <v>53</v>
      </c>
      <c r="J13" s="4" t="s">
        <v>54</v>
      </c>
      <c r="K13" s="3" t="str">
        <f>HYPERLINK("https://www.google.com/maps/reviews/data=!4m8!14m7!1m6!2m5!1sCi9DQUlRQUNvZENodHljRjlvT2s5Q1ZVTXdRM0JSUWxGdE9XeGpOMUl5YjFwUlYwRRAB!2m1!1s0x0:0x35908ee5dc536387!3m1!1s2@1:CAIQACodChtycF9oOk9CVUMwQ3BRQlFtOWxjN1Iyb1pRV0E%7C%7C?hl=en", "View Link")</f>
        <v>View Link</v>
      </c>
      <c r="L13" s="3"/>
    </row>
    <row r="14" spans="1:12" ht="20" customHeight="1">
      <c r="A14" s="2"/>
      <c r="B14" s="2"/>
      <c r="C14" s="2"/>
      <c r="D14" s="2"/>
      <c r="E14" s="3"/>
      <c r="F14" s="4"/>
      <c r="G14" s="5" t="s">
        <v>55</v>
      </c>
      <c r="H14" s="4">
        <v>1</v>
      </c>
      <c r="I14" s="2" t="s">
        <v>56</v>
      </c>
      <c r="J14" s="4" t="s">
        <v>57</v>
      </c>
      <c r="K14" s="3" t="str">
        <f>HYPERLINK("https://www.google.com/maps/reviews/data=!4m8!14m7!1m6!2m5!1sCi9DQUlRQUNvZENodHljRjlvT25SSlVFUkZNWE5SWVUxMGExcGFOVU00UVZBM1VrRRAB!2m1!1s0x0:0x35908ee5dc536387!3m1!1s2@1:CAIQACodChtycF9oOnRJUERFMXNRYU10a1paNUM4QVA3UkE%7C%7C?hl=en", "View Link")</f>
        <v>View Link</v>
      </c>
      <c r="L14" s="3"/>
    </row>
    <row r="15" spans="1:12" ht="20" customHeight="1">
      <c r="A15" s="2"/>
      <c r="B15" s="2"/>
      <c r="C15" s="2"/>
      <c r="D15" s="2"/>
      <c r="E15" s="3"/>
      <c r="F15" s="4"/>
      <c r="G15" s="5" t="s">
        <v>58</v>
      </c>
      <c r="H15" s="4">
        <v>1</v>
      </c>
      <c r="I15" s="2" t="s">
        <v>59</v>
      </c>
      <c r="J15" s="4" t="s">
        <v>60</v>
      </c>
      <c r="K15" s="3" t="str">
        <f>HYPERLINK("https://www.google.com/maps/reviews/data=!4m8!14m7!1m6!2m5!1sChZDSUhNMG9nS0VJQ0FnSUMtcWVydFpREAE!2m1!1s0x0:0x35908ee5dc536387!3m1!1s2@1:CIHM0ogKEICAgIC-qertZQ%7C%7C?hl=en", "View Link")</f>
        <v>View Link</v>
      </c>
      <c r="L15" s="3"/>
    </row>
    <row r="16" spans="1:12" ht="20" customHeight="1">
      <c r="A16" s="2"/>
      <c r="B16" s="2"/>
      <c r="C16" s="2"/>
      <c r="D16" s="2"/>
      <c r="E16" s="3"/>
      <c r="F16" s="4"/>
      <c r="G16" s="5" t="s">
        <v>61</v>
      </c>
      <c r="H16" s="4">
        <v>1</v>
      </c>
      <c r="I16" s="2" t="s">
        <v>62</v>
      </c>
      <c r="J16" s="4" t="s">
        <v>63</v>
      </c>
      <c r="K16" s="3" t="str">
        <f>HYPERLINK("https://www.google.com/maps/reviews/data=!4m8!14m7!1m6!2m5!1sChdDSUhNMG9nS0VJQ0FnSUQteHZlYzNBRRAB!2m1!1s0x0:0x35908ee5dc536387!3m1!1s2@1:CIHM0ogKEICAgID-xvec3AE%7C%7C?hl=en", "View Link")</f>
        <v>View Link</v>
      </c>
      <c r="L16" s="3"/>
    </row>
    <row r="17" spans="1:12" ht="20" customHeight="1">
      <c r="A17" s="2"/>
      <c r="B17" s="2"/>
      <c r="C17" s="2"/>
      <c r="D17" s="2"/>
      <c r="E17" s="3"/>
      <c r="F17" s="4"/>
      <c r="G17" s="5" t="s">
        <v>64</v>
      </c>
      <c r="H17" s="4">
        <v>1</v>
      </c>
      <c r="I17" s="2" t="s">
        <v>65</v>
      </c>
      <c r="J17" s="4" t="s">
        <v>66</v>
      </c>
      <c r="K17" s="3" t="str">
        <f>HYPERLINK("https://www.google.com/maps/reviews/data=!4m8!14m7!1m6!2m5!1sChZDSUhNMG9nS0VJQ0FnSUMyc3N1dUFnEAE!2m1!1s0x0:0x35908ee5dc536387!3m1!1s2@1:CIHM0ogKEICAgIC2ssuuAg%7C%7C?hl=en", "View Link")</f>
        <v>View Link</v>
      </c>
      <c r="L17" s="3"/>
    </row>
    <row r="18" spans="1:12" ht="20" customHeight="1">
      <c r="A18" s="2"/>
      <c r="B18" s="2"/>
      <c r="C18" s="2"/>
      <c r="D18" s="2"/>
      <c r="E18" s="3"/>
      <c r="F18" s="4"/>
      <c r="G18" s="5" t="s">
        <v>67</v>
      </c>
      <c r="H18" s="4">
        <v>1</v>
      </c>
      <c r="I18" s="2" t="s">
        <v>68</v>
      </c>
      <c r="J18" s="4" t="s">
        <v>69</v>
      </c>
      <c r="K18" s="3" t="str">
        <f>HYPERLINK("https://www.google.com/maps/reviews/data=!4m8!14m7!1m6!2m5!1sChZDSUhNMG9nS0VJQ0FnSURmNFBubUZREAE!2m1!1s0x0:0x35908ee5dc536387!3m1!1s2@1:CIHM0ogKEICAgIDf4PnmFQ%7C%7C?hl=en", "View Link")</f>
        <v>View Link</v>
      </c>
      <c r="L18" s="3"/>
    </row>
    <row r="19" spans="1:12" ht="20" customHeight="1">
      <c r="A19" s="2"/>
      <c r="B19" s="2"/>
      <c r="C19" s="2"/>
      <c r="D19" s="2"/>
      <c r="E19" s="3"/>
      <c r="F19" s="4"/>
      <c r="G19" s="5" t="s">
        <v>70</v>
      </c>
      <c r="H19" s="4">
        <v>1</v>
      </c>
      <c r="I19" s="2"/>
      <c r="J19" s="4" t="s">
        <v>71</v>
      </c>
      <c r="K19" s="3" t="str">
        <f>HYPERLINK("https://www.google.com/maps/reviews/data=!4m8!14m7!1m6!2m5!1sChZDSUhNMG9nS0VJQ0FnSUMtMXJfQVhnEAE!2m1!1s0x0:0x35908ee5dc536387!3m1!1s2@1:CIHM0ogKEICAgIC-1r_AXg%7C%7C?hl=en", "View Link")</f>
        <v>View Link</v>
      </c>
      <c r="L19" s="3"/>
    </row>
    <row r="20" spans="1:12" ht="20" customHeight="1">
      <c r="A20" s="2"/>
      <c r="B20" s="2"/>
      <c r="C20" s="2"/>
      <c r="D20" s="2"/>
      <c r="E20" s="3"/>
      <c r="F20" s="4"/>
      <c r="G20" s="5" t="s">
        <v>72</v>
      </c>
      <c r="H20" s="4">
        <v>1</v>
      </c>
      <c r="I20" s="2"/>
      <c r="J20" s="4" t="s">
        <v>73</v>
      </c>
      <c r="K20" s="3" t="str">
        <f>HYPERLINK("https://www.google.com/maps/reviews/data=!4m8!14m7!1m6!2m5!1sChZDSUhNMG9nS0VJQ0FnSUMyLW9mZVR3EAE!2m1!1s0x0:0x35908ee5dc536387!3m1!1s2@1:CIHM0ogKEICAgIC2-ofeTw%7C%7C?hl=en", "View Link")</f>
        <v>View Link</v>
      </c>
      <c r="L20" s="3"/>
    </row>
    <row r="21" spans="1:12" ht="20" customHeight="1">
      <c r="A21" s="2"/>
      <c r="B21" s="2"/>
      <c r="C21" s="2"/>
      <c r="D21" s="2"/>
      <c r="E21" s="3"/>
      <c r="F21" s="4"/>
      <c r="G21" s="5" t="s">
        <v>74</v>
      </c>
      <c r="H21" s="4">
        <v>1</v>
      </c>
      <c r="I21" s="2"/>
      <c r="J21" s="4" t="s">
        <v>75</v>
      </c>
      <c r="K21" s="3" t="str">
        <f>HYPERLINK("https://www.google.com/maps/reviews/data=!4m8!14m7!1m6!2m5!1sChZDSUhNMG9nS0VJQ0FnSURLeDVPcFR3EAE!2m1!1s0x0:0x35908ee5dc536387!3m1!1s2@1:CIHM0ogKEICAgIDKx5OpTw%7C%7C?hl=en", "View Link")</f>
        <v>View Link</v>
      </c>
      <c r="L21" s="3"/>
    </row>
    <row r="22" spans="1:12" ht="20" customHeight="1">
      <c r="A22" s="2" t="s">
        <v>76</v>
      </c>
      <c r="B22" s="2" t="s">
        <v>77</v>
      </c>
      <c r="C22" s="2" t="s">
        <v>78</v>
      </c>
      <c r="D22" s="2" t="s">
        <v>15</v>
      </c>
      <c r="E22" s="3">
        <f>HYPERLINK("https://www.sknclinics.co.uk/clinics/the-north-and-scotland/edinburgh-haymarket-terrace", "Visit Website")</f>
        <v>0</v>
      </c>
      <c r="F22" s="4">
        <v>4.3</v>
      </c>
      <c r="G22" s="5" t="s">
        <v>79</v>
      </c>
      <c r="H22" s="4">
        <v>1</v>
      </c>
      <c r="I22" s="2" t="s">
        <v>80</v>
      </c>
      <c r="J22" s="4" t="s">
        <v>81</v>
      </c>
      <c r="K22" s="3" t="str">
        <f>HYPERLINK("https://www.google.com/maps/reviews/data=!4m8!14m7!1m6!2m5!1sCi9DQUlRQUNvZENodHljRjlvT25sVVJHbFNXRzkwU0ZoeGNsRkdORU0wWVUwd2RVRRAB!2m1!1s0x0:0x49480c62e45adfcd!3m1!1s2@1:CAIQACodChtycF9oOnlURGlSWG90SFhxclFGNEM0YU0wdUE%7C%7C?hl=en", "View Link")</f>
        <v>View Link</v>
      </c>
      <c r="L22" s="3">
        <f>HYPERLINK("https://www.google.com/maps/search/?api=1&amp;query=sk%3An%20Edinburgh&amp;query_place_id=ChIJJ4L6a5HHh0gRzd9a5GIMSEk", "Open Map")</f>
        <v>0</v>
      </c>
    </row>
    <row r="23" spans="1:12" ht="20" customHeight="1">
      <c r="A23" s="2"/>
      <c r="B23" s="2"/>
      <c r="C23" s="2"/>
      <c r="D23" s="2"/>
      <c r="E23" s="3"/>
      <c r="F23" s="4"/>
      <c r="G23" s="5" t="s">
        <v>82</v>
      </c>
      <c r="H23" s="4">
        <v>1</v>
      </c>
      <c r="I23" s="2" t="s">
        <v>83</v>
      </c>
      <c r="J23" s="4" t="s">
        <v>84</v>
      </c>
      <c r="K23" s="3" t="str">
        <f>HYPERLINK("https://www.google.com/maps/reviews/data=!4m8!14m7!1m6!2m5!1sCi9DQUlRQUNvZENodHljRjlvT2sxckxWVnlZbGRYWW5KQmNXdFFlR05MZWxVeU9WRRAB!2m1!1s0x0:0x49480c62e45adfcd!3m1!1s2@1:CAIQACodChtycF9oOk1rLVVyYldXYnJBcWtQeGNLelUyOVE%7C%7C?hl=en", "View Link")</f>
        <v>View Link</v>
      </c>
      <c r="L23" s="3"/>
    </row>
    <row r="24" spans="1:12" ht="20" customHeight="1">
      <c r="A24" s="2"/>
      <c r="B24" s="2"/>
      <c r="C24" s="2"/>
      <c r="D24" s="2"/>
      <c r="E24" s="3"/>
      <c r="F24" s="4"/>
      <c r="G24" s="5" t="s">
        <v>85</v>
      </c>
      <c r="H24" s="4">
        <v>1</v>
      </c>
      <c r="I24" s="2" t="s">
        <v>86</v>
      </c>
      <c r="J24" s="4" t="s">
        <v>87</v>
      </c>
      <c r="K24" s="3" t="str">
        <f>HYPERLINK("https://www.google.com/maps/reviews/data=!4m8!14m7!1m6!2m5!1sCi9DQUlRQUNvZENodHljRjlvT2xwNGNTMUZXakp0Y2pKVlh6aFNkR1ZtYW1wUU9IYxAB!2m1!1s0x0:0x49480c62e45adfcd!3m1!1s2@1:CAIQACodChtycF9oOlp4cS1FWjJtcjJVXzhSdGVmampQOHc%7C%7C?hl=en", "View Link")</f>
        <v>View Link</v>
      </c>
      <c r="L24" s="3"/>
    </row>
    <row r="25" spans="1:12" ht="20" customHeight="1">
      <c r="A25" s="2"/>
      <c r="B25" s="2"/>
      <c r="C25" s="2"/>
      <c r="D25" s="2"/>
      <c r="E25" s="3"/>
      <c r="F25" s="4"/>
      <c r="G25" s="5" t="s">
        <v>88</v>
      </c>
      <c r="H25" s="4">
        <v>1</v>
      </c>
      <c r="I25" s="2" t="s">
        <v>89</v>
      </c>
      <c r="J25" s="4" t="s">
        <v>90</v>
      </c>
      <c r="K25" s="3" t="str">
        <f>HYPERLINK("https://www.google.com/maps/reviews/data=!4m8!14m7!1m6!2m5!1sCi9DQUlRQUNvZENodHljRjlvT2pSNWNHUk1VV0paT0ZSMmRuTmZiVlZxT1dONlZtYxAB!2m1!1s0x0:0x49480c62e45adfcd!3m1!1s2@1:CAIQACodChtycF9oOjR5cGRMUWJZOFR2dnNfbVVqOWN6Vmc%7C%7C?hl=en", "View Link")</f>
        <v>View Link</v>
      </c>
      <c r="L25" s="3"/>
    </row>
    <row r="26" spans="1:12" ht="20" customHeight="1">
      <c r="A26" s="2"/>
      <c r="B26" s="2"/>
      <c r="C26" s="2"/>
      <c r="D26" s="2"/>
      <c r="E26" s="3"/>
      <c r="F26" s="4"/>
      <c r="G26" s="5" t="s">
        <v>91</v>
      </c>
      <c r="H26" s="4">
        <v>1</v>
      </c>
      <c r="I26" s="2" t="s">
        <v>92</v>
      </c>
      <c r="J26" s="4" t="s">
        <v>93</v>
      </c>
      <c r="K26" s="3" t="str">
        <f>HYPERLINK("https://www.google.com/maps/reviews/data=!4m8!14m7!1m6!2m5!1sChdDSUhNMG9nS0VJQ0FnSURQaV95UXN3RRAB!2m1!1s0x0:0x49480c62e45adfcd!3m1!1s2@1:CIHM0ogKEICAgIDPi_yQswE%7C%7C?hl=en", "View Link")</f>
        <v>View Link</v>
      </c>
      <c r="L26" s="3"/>
    </row>
    <row r="27" spans="1:12" ht="20" customHeight="1">
      <c r="A27" s="2"/>
      <c r="B27" s="2"/>
      <c r="C27" s="2"/>
      <c r="D27" s="2"/>
      <c r="E27" s="3"/>
      <c r="F27" s="4"/>
      <c r="G27" s="5" t="s">
        <v>94</v>
      </c>
      <c r="H27" s="4">
        <v>1</v>
      </c>
      <c r="I27" s="2" t="s">
        <v>95</v>
      </c>
      <c r="J27" s="4" t="s">
        <v>96</v>
      </c>
      <c r="K27" s="3" t="str">
        <f>HYPERLINK("https://www.google.com/maps/reviews/data=!4m8!14m7!1m6!2m5!1sChdDSUhNMG9nS0VJQ0FnTURnb3JDcHJBRRAB!2m1!1s0x0:0x49480c62e45adfcd!3m1!1s2@1:CIHM0ogKEICAgMDgorCprAE%7C%7C?hl=en", "View Link")</f>
        <v>View Link</v>
      </c>
      <c r="L27" s="3"/>
    </row>
    <row r="28" spans="1:12" ht="20" customHeight="1">
      <c r="A28" s="2"/>
      <c r="B28" s="2"/>
      <c r="C28" s="2"/>
      <c r="D28" s="2"/>
      <c r="E28" s="3"/>
      <c r="F28" s="4"/>
      <c r="G28" s="5" t="s">
        <v>97</v>
      </c>
      <c r="H28" s="4">
        <v>1</v>
      </c>
      <c r="I28" s="2" t="s">
        <v>98</v>
      </c>
      <c r="J28" s="4" t="s">
        <v>99</v>
      </c>
      <c r="K28" s="3" t="str">
        <f>HYPERLINK("https://www.google.com/maps/reviews/data=!4m8!14m7!1m6!2m5!1sCi9DQUlRQUNvZENodHljRjlvT2pBeGJXdFdRMjE1TldOVVFrSndUMTlpZVcxUlNrRRAB!2m1!1s0x0:0x49480c62e45adfcd!3m1!1s2@1:CAIQACodChtycF9oOjAxbWtWQ215NWNUQkJwT19ieW1RSkE%7C%7C?hl=en", "View Link")</f>
        <v>View Link</v>
      </c>
      <c r="L28" s="3"/>
    </row>
    <row r="29" spans="1:12" ht="20" customHeight="1">
      <c r="A29" s="2"/>
      <c r="B29" s="2"/>
      <c r="C29" s="2"/>
      <c r="D29" s="2"/>
      <c r="E29" s="3"/>
      <c r="F29" s="4"/>
      <c r="G29" s="5" t="s">
        <v>100</v>
      </c>
      <c r="H29" s="4">
        <v>1</v>
      </c>
      <c r="I29" s="2" t="s">
        <v>101</v>
      </c>
      <c r="J29" s="4" t="s">
        <v>102</v>
      </c>
      <c r="K29" s="3" t="str">
        <f>HYPERLINK("https://www.google.com/maps/reviews/data=!4m8!14m7!1m6!2m5!1sChZDSUhNMG9nS0VJQ0FnSUNsanBqNEJ3EAE!2m1!1s0x0:0x49480c62e45adfcd!3m1!1s2@1:CIHM0ogKEICAgICljpj4Bw%7C%7C?hl=en", "View Link")</f>
        <v>View Link</v>
      </c>
      <c r="L29" s="3"/>
    </row>
    <row r="30" spans="1:12" ht="20" customHeight="1">
      <c r="A30" s="2"/>
      <c r="B30" s="2"/>
      <c r="C30" s="2"/>
      <c r="D30" s="2"/>
      <c r="E30" s="3"/>
      <c r="F30" s="4"/>
      <c r="G30" s="5" t="s">
        <v>103</v>
      </c>
      <c r="H30" s="4">
        <v>1</v>
      </c>
      <c r="I30" s="2" t="s">
        <v>104</v>
      </c>
      <c r="J30" s="4" t="s">
        <v>105</v>
      </c>
      <c r="K30" s="3" t="str">
        <f>HYPERLINK("https://www.google.com/maps/reviews/data=!4m8!14m7!1m6!2m5!1sCi9DQUlRQUNvZENodHljRjlvT2pBMGJIaDNOakZETjBOeVdsVm9WbmRvUldoUmFsRRAB!2m1!1s0x0:0x49480c62e45adfcd!3m1!1s2@1:CAIQACodChtycF9oOjA0bHh3NjFDN0NyWlVoVndoRWhRalE%7C%7C?hl=en", "View Link")</f>
        <v>View Link</v>
      </c>
      <c r="L30" s="3"/>
    </row>
    <row r="31" spans="1:12" ht="20" customHeight="1">
      <c r="A31" s="2"/>
      <c r="B31" s="2"/>
      <c r="C31" s="2"/>
      <c r="D31" s="2"/>
      <c r="E31" s="3"/>
      <c r="F31" s="4"/>
      <c r="G31" s="5" t="s">
        <v>106</v>
      </c>
      <c r="H31" s="4">
        <v>1</v>
      </c>
      <c r="I31" s="2" t="s">
        <v>107</v>
      </c>
      <c r="J31" s="4" t="s">
        <v>108</v>
      </c>
      <c r="K31" s="3" t="str">
        <f>HYPERLINK("https://www.google.com/maps/reviews/data=!4m8!14m7!1m6!2m5!1sChZDSUhNMG9nS0VJQ0FnSUNKN1AtYVFBEAE!2m1!1s0x0:0x49480c62e45adfcd!3m1!1s2@1:CIHM0ogKEICAgICJ7P-aQA%7C%7C?hl=en", "View Link")</f>
        <v>View Link</v>
      </c>
      <c r="L31" s="3"/>
    </row>
    <row r="32" spans="1:12" ht="20" customHeight="1">
      <c r="A32" s="5" t="s">
        <v>109</v>
      </c>
      <c r="B32" s="5" t="s">
        <v>110</v>
      </c>
      <c r="C32" s="5" t="s">
        <v>111</v>
      </c>
      <c r="D32" s="5" t="s">
        <v>15</v>
      </c>
      <c r="E32" s="3" t="str">
        <f>HYPERLINK("https://www.royalfree.nhs.uk/services/dermatology", "Visit Website")</f>
        <v>Visit Website</v>
      </c>
      <c r="F32" s="4">
        <v>3.3</v>
      </c>
      <c r="G32" s="5" t="s">
        <v>112</v>
      </c>
      <c r="H32" s="4">
        <v>1</v>
      </c>
      <c r="I32" s="2"/>
      <c r="J32" s="4" t="s">
        <v>113</v>
      </c>
      <c r="K32" s="3" t="str">
        <f>HYPERLINK("https://www.google.com/maps/reviews/data=!4m8!14m7!1m6!2m5!1sChZDSUhNMG9nS0VJQ0FnSURQcnZuekRBEAE!2m1!1s0x0:0x7f52e45bb8dc2fe9!3m1!1s2@1:CIHM0ogKEICAgIDPrvnzDA%7C%7C?hl=en-US", "View Link")</f>
        <v>View Link</v>
      </c>
      <c r="L32" s="3" t="str">
        <f>HYPERLINK("https://www.google.com/maps/search/?api=1&amp;query=Barnet%20Hospital%20%3ADermatology&amp;query_place_id=ChIJIbTz2KIXdkgR6S_cuFvkUn8", "Open Map")</f>
        <v>Open Map</v>
      </c>
    </row>
    <row r="33" spans="1:12" ht="20" customHeight="1">
      <c r="A33" s="2" t="s">
        <v>114</v>
      </c>
      <c r="B33" s="2" t="s">
        <v>115</v>
      </c>
      <c r="C33" s="2" t="s">
        <v>116</v>
      </c>
      <c r="D33" s="2" t="s">
        <v>15</v>
      </c>
      <c r="E33" s="3">
        <f>HYPERLINK("https://southerntrust.hscni.net/our-hospitals/daisy-hill-hospital/", "Visit Website")</f>
        <v>0</v>
      </c>
      <c r="F33" s="4">
        <v>3.9</v>
      </c>
      <c r="G33" s="5" t="s">
        <v>117</v>
      </c>
      <c r="H33" s="4">
        <v>1</v>
      </c>
      <c r="I33" s="2" t="s">
        <v>118</v>
      </c>
      <c r="J33" s="4" t="s">
        <v>119</v>
      </c>
      <c r="K33" s="3" t="str">
        <f>HYPERLINK("https://www.google.com/maps/reviews/data=!4m8!14m7!1m6!2m5!1sCi9DQUlRQUNvZENodHljRjlvT2toYVQwSTVTVGxUYjJsRmQwWXdXVFYxZFdadVlVRRAB!2m1!1s0x0:0x1a5c426565860a4a!3m1!1s2@1:CAIQACodChtycF9oOkhaT0I5STlTb2lFd0YwWTV1dWZuYUE%7C%7C?hl=en", "View Link")</f>
        <v>View Link</v>
      </c>
      <c r="L33" s="3">
        <f>HYPERLINK("https://www.google.com/maps/search/?api=1&amp;query=Daisy%20Hill%20Hospital&amp;query_place_id=ChIJaQk6mFXDYEgRSgqGZWVCXBo", "Open Map")</f>
        <v>0</v>
      </c>
    </row>
    <row r="34" spans="1:12" ht="20" customHeight="1">
      <c r="A34" s="2"/>
      <c r="B34" s="2"/>
      <c r="C34" s="2"/>
      <c r="D34" s="2"/>
      <c r="E34" s="3"/>
      <c r="F34" s="4"/>
      <c r="G34" s="5" t="s">
        <v>120</v>
      </c>
      <c r="H34" s="4">
        <v>1</v>
      </c>
      <c r="I34" s="2" t="s">
        <v>121</v>
      </c>
      <c r="J34" s="4" t="s">
        <v>122</v>
      </c>
      <c r="K34" s="3" t="str">
        <f>HYPERLINK("https://www.google.com/maps/reviews/data=!4m8!14m7!1m6!2m5!1sCi9DQUlRQUNvZENodHljRjlvT25kNGNGUk5lVVJzV0ROdGFHMTBla0ZaTkZCZlpFRRAB!2m1!1s0x0:0x1a5c426565860a4a!3m1!1s2@1:CAIQACodChtycF9oOnd4cFRNeURsWDNtaG10ekFZNFBfZEE%7C%7C?hl=en", "View Link")</f>
        <v>View Link</v>
      </c>
      <c r="L34" s="3"/>
    </row>
    <row r="35" spans="1:12" ht="20" customHeight="1">
      <c r="A35" s="2"/>
      <c r="B35" s="2"/>
      <c r="C35" s="2"/>
      <c r="D35" s="2"/>
      <c r="E35" s="3"/>
      <c r="F35" s="4"/>
      <c r="G35" s="5" t="s">
        <v>123</v>
      </c>
      <c r="H35" s="4">
        <v>1</v>
      </c>
      <c r="I35" s="2" t="s">
        <v>124</v>
      </c>
      <c r="J35" s="4" t="s">
        <v>125</v>
      </c>
      <c r="K35" s="3" t="str">
        <f>HYPERLINK("https://www.google.com/maps/reviews/data=!4m8!14m7!1m6!2m5!1sCi9DQUlRQUNvZENodHljRjlvT2xaVVVrSTJWalI0Y1dGVmVsTnBWVWhFYkdOTVJIYxAB!2m1!1s0x0:0x1a5c426565860a4a!3m1!1s2@1:CAIQACodChtycF9oOlZUUkI2VjR4cWFVelNpVUhEbGNMRHc%7C%7C?hl=en", "View Link")</f>
        <v>View Link</v>
      </c>
      <c r="L35" s="3"/>
    </row>
    <row r="36" spans="1:12" ht="20" customHeight="1">
      <c r="A36" s="2"/>
      <c r="B36" s="2"/>
      <c r="C36" s="2"/>
      <c r="D36" s="2"/>
      <c r="E36" s="3"/>
      <c r="F36" s="4"/>
      <c r="G36" s="5" t="s">
        <v>126</v>
      </c>
      <c r="H36" s="4">
        <v>1</v>
      </c>
      <c r="I36" s="2" t="s">
        <v>127</v>
      </c>
      <c r="J36" s="4" t="s">
        <v>128</v>
      </c>
      <c r="K36" s="3" t="str">
        <f>HYPERLINK("https://www.google.com/maps/reviews/data=!4m8!14m7!1m6!2m5!1sCi9DQUlRQUNvZENodHljRjlvT21OSFMzcE1TWGQyU1V0cVZsSmZUUzFhT0ZNdFZrRRAB!2m1!1s0x0:0x1a5c426565860a4a!3m1!1s2@1:CAIQACodChtycF9oOmNHS3pMSXd2SUtqVlJfTS1aOFMtVkE%7C%7C?hl=en", "View Link")</f>
        <v>View Link</v>
      </c>
      <c r="L36" s="3"/>
    </row>
    <row r="37" spans="1:12" ht="20" customHeight="1">
      <c r="A37" s="2"/>
      <c r="B37" s="2"/>
      <c r="C37" s="2"/>
      <c r="D37" s="2"/>
      <c r="E37" s="3"/>
      <c r="F37" s="4"/>
      <c r="G37" s="5" t="s">
        <v>129</v>
      </c>
      <c r="H37" s="4">
        <v>1</v>
      </c>
      <c r="I37" s="2" t="s">
        <v>130</v>
      </c>
      <c r="J37" s="4" t="s">
        <v>131</v>
      </c>
      <c r="K37" s="3" t="str">
        <f>HYPERLINK("https://www.google.com/maps/reviews/data=!4m8!14m7!1m6!2m5!1sChZDSUhNMG9nS0VJQ0FnSURwdUlYclZREAE!2m1!1s0x0:0x1a5c426565860a4a!3m1!1s2@1:CIHM0ogKEICAgIDpuIXrVQ%7C%7C?hl=en", "View Link")</f>
        <v>View Link</v>
      </c>
      <c r="L37" s="3"/>
    </row>
    <row r="38" spans="1:12" ht="20" customHeight="1">
      <c r="A38" s="2"/>
      <c r="B38" s="2"/>
      <c r="C38" s="2"/>
      <c r="D38" s="2"/>
      <c r="E38" s="3"/>
      <c r="F38" s="4"/>
      <c r="G38" s="5" t="s">
        <v>132</v>
      </c>
      <c r="H38" s="4">
        <v>1</v>
      </c>
      <c r="I38" s="2" t="s">
        <v>133</v>
      </c>
      <c r="J38" s="4" t="s">
        <v>134</v>
      </c>
      <c r="K38" s="3" t="str">
        <f>HYPERLINK("https://www.google.com/maps/reviews/data=!4m8!14m7!1m6!2m5!1sChdDSUhNMG9nS0VJQ0FnSUNubl9hZzZnRRAB!2m1!1s0x0:0x1a5c426565860a4a!3m1!1s2@1:CIHM0ogKEICAgICnn_ag6gE%7C%7C?hl=en", "View Link")</f>
        <v>View Link</v>
      </c>
      <c r="L38" s="3"/>
    </row>
    <row r="39" spans="1:12" ht="20" customHeight="1">
      <c r="A39" s="2"/>
      <c r="B39" s="2"/>
      <c r="C39" s="2"/>
      <c r="D39" s="2"/>
      <c r="E39" s="3"/>
      <c r="F39" s="4"/>
      <c r="G39" s="5" t="s">
        <v>135</v>
      </c>
      <c r="H39" s="4">
        <v>1</v>
      </c>
      <c r="I39" s="2" t="s">
        <v>136</v>
      </c>
      <c r="J39" s="4" t="s">
        <v>137</v>
      </c>
      <c r="K39" s="3" t="str">
        <f>HYPERLINK("https://www.google.com/maps/reviews/data=!4m8!14m7!1m6!2m5!1sChdDSUhNMG9nS0VJQ0FnSUR6amVUaDBBRRAB!2m1!1s0x0:0x1a5c426565860a4a!3m1!1s2@1:CIHM0ogKEICAgIDzjeTh0AE%7C%7C?hl=en", "View Link")</f>
        <v>View Link</v>
      </c>
      <c r="L39" s="3"/>
    </row>
    <row r="40" spans="1:12" ht="20" customHeight="1">
      <c r="A40" s="2"/>
      <c r="B40" s="2"/>
      <c r="C40" s="2"/>
      <c r="D40" s="2"/>
      <c r="E40" s="3"/>
      <c r="F40" s="4"/>
      <c r="G40" s="5" t="s">
        <v>138</v>
      </c>
      <c r="H40" s="4">
        <v>1</v>
      </c>
      <c r="I40" s="2" t="s">
        <v>139</v>
      </c>
      <c r="J40" s="4" t="s">
        <v>140</v>
      </c>
      <c r="K40" s="3" t="str">
        <f>HYPERLINK("https://www.google.com/maps/reviews/data=!4m8!14m7!1m6!2m5!1sChZDSUhNMG9nS0VJQ0FnSUNpNGJDd2ZBEAE!2m1!1s0x0:0x1a5c426565860a4a!3m1!1s2@1:CIHM0ogKEICAgICi4bCwfA%7C%7C?hl=en", "View Link")</f>
        <v>View Link</v>
      </c>
      <c r="L40" s="3"/>
    </row>
    <row r="41" spans="1:12" ht="20" customHeight="1">
      <c r="A41" s="2"/>
      <c r="B41" s="2"/>
      <c r="C41" s="2"/>
      <c r="D41" s="2"/>
      <c r="E41" s="3"/>
      <c r="F41" s="4"/>
      <c r="G41" s="5" t="s">
        <v>141</v>
      </c>
      <c r="H41" s="4">
        <v>1</v>
      </c>
      <c r="I41" s="2" t="s">
        <v>142</v>
      </c>
      <c r="J41" s="4" t="s">
        <v>143</v>
      </c>
      <c r="K41" s="3" t="str">
        <f>HYPERLINK("https://www.google.com/maps/reviews/data=!4m8!14m7!1m6!2m5!1sChdDSUhNMG9nS0VJQ0FnSUNleE1PbnJnRRAB!2m1!1s0x0:0x1a5c426565860a4a!3m1!1s2@1:CIHM0ogKEICAgICexMOnrgE%7C%7C?hl=en", "View Link")</f>
        <v>View Link</v>
      </c>
      <c r="L41" s="3"/>
    </row>
    <row r="42" spans="1:12" ht="20" customHeight="1">
      <c r="A42" s="2"/>
      <c r="B42" s="2"/>
      <c r="C42" s="2"/>
      <c r="D42" s="2"/>
      <c r="E42" s="3"/>
      <c r="F42" s="4"/>
      <c r="G42" s="5" t="s">
        <v>144</v>
      </c>
      <c r="H42" s="4">
        <v>1</v>
      </c>
      <c r="I42" s="2" t="s">
        <v>145</v>
      </c>
      <c r="J42" s="4" t="s">
        <v>146</v>
      </c>
      <c r="K42" s="3" t="str">
        <f>HYPERLINK("https://www.google.com/maps/reviews/data=!4m8!14m7!1m6!2m5!1sChZDSUhNMG9nS0VJQ0FnSUNYOGJhNmZnEAE!2m1!1s0x0:0x1a5c426565860a4a!3m1!1s2@1:CIHM0ogKEICAgICX8ba6fg%7C%7C?hl=en", "View Link")</f>
        <v>View Link</v>
      </c>
      <c r="L42" s="3"/>
    </row>
    <row r="43" spans="1:12" ht="20" customHeight="1">
      <c r="A43" s="2" t="s">
        <v>147</v>
      </c>
      <c r="B43" s="2" t="s">
        <v>148</v>
      </c>
      <c r="C43" s="2" t="s">
        <v>149</v>
      </c>
      <c r="D43" s="2" t="s">
        <v>150</v>
      </c>
      <c r="E43" s="3">
        <f>HYPERLINK("https://www.kentcht.nhs.uk/location/dover-health-centre/", "Visit Website")</f>
        <v>0</v>
      </c>
      <c r="F43" s="4">
        <v>3.9</v>
      </c>
      <c r="G43" s="5" t="s">
        <v>151</v>
      </c>
      <c r="H43" s="4">
        <v>1</v>
      </c>
      <c r="I43" s="2" t="s">
        <v>152</v>
      </c>
      <c r="J43" s="4" t="s">
        <v>153</v>
      </c>
      <c r="K43" s="3" t="str">
        <f>HYPERLINK("https://www.google.com/maps/reviews/data=!4m8!14m7!1m6!2m5!1sCi9DQUlRQUNvZENodHljRjlvT2xaRlZXOXRWRzl1UlY5alpYRjZWREJhTUhBM1psRRAB!2m1!1s0x0:0x20013776258e76c4!3m1!1s2@1:CAIQACodChtycF9oOlZFVW9tVG9uRV9jZXF6VDBaMHA3ZlE%7C%7C?hl=en", "View Link")</f>
        <v>View Link</v>
      </c>
      <c r="L43" s="3">
        <f>HYPERLINK("https://www.google.com/maps/search/?api=1&amp;query=Dover%20Health%20Centre&amp;query_place_id=ChIJTbeTySq73kcRxHaOJXY3ASA", "Open Map")</f>
        <v>0</v>
      </c>
    </row>
    <row r="44" spans="1:12" ht="20" customHeight="1">
      <c r="A44" s="2"/>
      <c r="B44" s="2"/>
      <c r="C44" s="2"/>
      <c r="D44" s="2"/>
      <c r="E44" s="3"/>
      <c r="F44" s="4"/>
      <c r="G44" s="5" t="s">
        <v>154</v>
      </c>
      <c r="H44" s="4">
        <v>1</v>
      </c>
      <c r="I44" s="2" t="s">
        <v>155</v>
      </c>
      <c r="J44" s="4" t="s">
        <v>156</v>
      </c>
      <c r="K44" s="3" t="str">
        <f>HYPERLINK("https://www.google.com/maps/reviews/data=!4m8!14m7!1m6!2m5!1sChZDSUhNMG9nS0VJQ0FnSUNzdC1qNE5nEAE!2m1!1s0x0:0x20013776258e76c4!3m1!1s2@1:CIHM0ogKEICAgICst-j4Ng%7C%7C?hl=en", "View Link")</f>
        <v>View Link</v>
      </c>
      <c r="L44" s="3"/>
    </row>
    <row r="45" spans="1:12" ht="20" customHeight="1">
      <c r="A45" s="2"/>
      <c r="B45" s="2"/>
      <c r="C45" s="2"/>
      <c r="D45" s="2"/>
      <c r="E45" s="3"/>
      <c r="F45" s="4"/>
      <c r="G45" s="5" t="s">
        <v>157</v>
      </c>
      <c r="H45" s="4">
        <v>1</v>
      </c>
      <c r="I45" s="2" t="s">
        <v>158</v>
      </c>
      <c r="J45" s="4" t="s">
        <v>159</v>
      </c>
      <c r="K45" s="3" t="str">
        <f>HYPERLINK("https://www.google.com/maps/reviews/data=!4m8!14m7!1m6!2m5!1sChZDSUhNMG9nS0VJQ0FnSUMwcjdxb0J3EAE!2m1!1s0x0:0x20013776258e76c4!3m1!1s2@1:CIHM0ogKEICAgIC0r7qoBw%7C%7C?hl=en", "View Link")</f>
        <v>View Link</v>
      </c>
      <c r="L45" s="3"/>
    </row>
    <row r="46" spans="1:12" ht="20" customHeight="1">
      <c r="A46" s="2"/>
      <c r="B46" s="2"/>
      <c r="C46" s="2"/>
      <c r="D46" s="2"/>
      <c r="E46" s="3"/>
      <c r="F46" s="4"/>
      <c r="G46" s="5" t="s">
        <v>160</v>
      </c>
      <c r="H46" s="4">
        <v>1</v>
      </c>
      <c r="I46" s="2" t="s">
        <v>161</v>
      </c>
      <c r="J46" s="4" t="s">
        <v>162</v>
      </c>
      <c r="K46" s="3" t="str">
        <f>HYPERLINK("https://www.google.com/maps/reviews/data=!4m8!14m7!1m6!2m5!1sChZDSUhNMG9nS0VJQ0FnSURRaWJUTlZnEAE!2m1!1s0x0:0x20013776258e76c4!3m1!1s2@1:CIHM0ogKEICAgIDQibTNVg%7C%7C?hl=en", "View Link")</f>
        <v>View Link</v>
      </c>
      <c r="L46" s="3"/>
    </row>
    <row r="47" spans="1:12" ht="20" customHeight="1">
      <c r="A47" s="2"/>
      <c r="B47" s="2"/>
      <c r="C47" s="2"/>
      <c r="D47" s="2"/>
      <c r="E47" s="3"/>
      <c r="F47" s="4"/>
      <c r="G47" s="5" t="s">
        <v>163</v>
      </c>
      <c r="H47" s="4">
        <v>1</v>
      </c>
      <c r="I47" s="2"/>
      <c r="J47" s="4" t="s">
        <v>164</v>
      </c>
      <c r="K47" s="3" t="str">
        <f>HYPERLINK("https://www.google.com/maps/reviews/data=!4m8!14m7!1m6!2m5!1sChdDSUhNMG9nS0VJQ0FnSURvMzhfajFBRRAB!2m1!1s0x0:0x20013776258e76c4!3m1!1s2@1:CIHM0ogKEICAgIDo38_j1AE%7C%7C?hl=en", "View Link")</f>
        <v>View Link</v>
      </c>
      <c r="L47" s="3"/>
    </row>
    <row r="48" spans="1:12" ht="20" customHeight="1">
      <c r="A48" s="2"/>
      <c r="B48" s="2"/>
      <c r="C48" s="2"/>
      <c r="D48" s="2"/>
      <c r="E48" s="3"/>
      <c r="F48" s="4"/>
      <c r="G48" s="5" t="s">
        <v>165</v>
      </c>
      <c r="H48" s="4">
        <v>1</v>
      </c>
      <c r="I48" s="2"/>
      <c r="J48" s="4" t="s">
        <v>166</v>
      </c>
      <c r="K48" s="3" t="str">
        <f>HYPERLINK("https://www.google.com/maps/reviews/data=!4m8!14m7!1m6!2m5!1sChdDSUhNMG9nS0VJQ0FnSUNnLUtueXhBRRAB!2m1!1s0x0:0x20013776258e76c4!3m1!1s2@1:CIHM0ogKEICAgICg-KnyxAE%7C%7C?hl=en", "View Link")</f>
        <v>View Link</v>
      </c>
      <c r="L48" s="3"/>
    </row>
    <row r="49" spans="1:12" ht="20" customHeight="1">
      <c r="A49" s="2"/>
      <c r="B49" s="2"/>
      <c r="C49" s="2"/>
      <c r="D49" s="2"/>
      <c r="E49" s="3"/>
      <c r="F49" s="4"/>
      <c r="G49" s="5" t="s">
        <v>167</v>
      </c>
      <c r="H49" s="4">
        <v>3</v>
      </c>
      <c r="I49" s="2" t="s">
        <v>168</v>
      </c>
      <c r="J49" s="4" t="s">
        <v>169</v>
      </c>
      <c r="K49" s="3" t="str">
        <f>HYPERLINK("https://www.google.com/maps/reviews/data=!4m8!14m7!1m6!2m5!1sChdDSUhNMG9nS0VJQ0FnSUN3dGVTR2h3RRAB!2m1!1s0x0:0x20013776258e76c4!3m1!1s2@1:CIHM0ogKEICAgICwteSGhwE%7C%7C?hl=en", "View Link")</f>
        <v>View Link</v>
      </c>
      <c r="L49" s="3"/>
    </row>
    <row r="50" spans="1:12" ht="20" customHeight="1">
      <c r="A50" s="2"/>
      <c r="B50" s="2"/>
      <c r="C50" s="2"/>
      <c r="D50" s="2"/>
      <c r="E50" s="3"/>
      <c r="F50" s="4"/>
      <c r="G50" s="5" t="s">
        <v>170</v>
      </c>
      <c r="H50" s="4">
        <v>3</v>
      </c>
      <c r="I50" s="2" t="s">
        <v>171</v>
      </c>
      <c r="J50" s="4" t="s">
        <v>172</v>
      </c>
      <c r="K50" s="3" t="str">
        <f>HYPERLINK("https://www.google.com/maps/reviews/data=!4m8!14m7!1m6!2m5!1sChZDSUhNMG9nS0VJQ0FnSUNnNGJPbkFREAE!2m1!1s0x0:0x20013776258e76c4!3m1!1s2@1:CIHM0ogKEICAgICg4bOnAQ%7C%7C?hl=en", "View Link")</f>
        <v>View Link</v>
      </c>
      <c r="L50" s="3"/>
    </row>
    <row r="51" spans="1:12" ht="20" customHeight="1">
      <c r="A51" s="2"/>
      <c r="B51" s="2"/>
      <c r="C51" s="2"/>
      <c r="D51" s="2"/>
      <c r="E51" s="3"/>
      <c r="F51" s="4"/>
      <c r="G51" s="5" t="s">
        <v>173</v>
      </c>
      <c r="H51" s="4">
        <v>3</v>
      </c>
      <c r="I51" s="2"/>
      <c r="J51" s="4" t="s">
        <v>174</v>
      </c>
      <c r="K51" s="3" t="str">
        <f>HYPERLINK("https://www.google.com/maps/reviews/data=!4m8!14m7!1m6!2m5!1sChdDSUhNMG9nS0VJQ0FnSUN3ek5ud253RRAB!2m1!1s0x0:0x20013776258e76c4!3m1!1s2@1:CIHM0ogKEICAgICwzNnwnwE%7C%7C?hl=en", "View Link")</f>
        <v>View Link</v>
      </c>
      <c r="L51" s="3"/>
    </row>
    <row r="52" spans="1:12" ht="20" customHeight="1">
      <c r="A52" s="2"/>
      <c r="B52" s="2"/>
      <c r="C52" s="2"/>
      <c r="D52" s="2"/>
      <c r="E52" s="3"/>
      <c r="F52" s="4"/>
      <c r="G52" s="5" t="s">
        <v>175</v>
      </c>
      <c r="H52" s="4">
        <v>3</v>
      </c>
      <c r="I52" s="2"/>
      <c r="J52" s="4" t="s">
        <v>176</v>
      </c>
      <c r="K52" s="3" t="str">
        <f>HYPERLINK("https://www.google.com/maps/reviews/data=!4m8!14m7!1m6!2m5!1sChZDSUhNMG9nS0VJQ0FnSUN3ellIZ1NnEAE!2m1!1s0x0:0x20013776258e76c4!3m1!1s2@1:CIHM0ogKEICAgICwzYHgSg%7C%7C?hl=en", "View Link")</f>
        <v>View Link</v>
      </c>
      <c r="L52" s="3"/>
    </row>
    <row r="53" spans="1:12" ht="20" customHeight="1">
      <c r="A53" s="2" t="s">
        <v>177</v>
      </c>
      <c r="B53" s="2" t="s">
        <v>178</v>
      </c>
      <c r="C53" s="2" t="s">
        <v>179</v>
      </c>
      <c r="D53" s="2" t="s">
        <v>15</v>
      </c>
      <c r="E53" s="3">
        <f>HYPERLINK("http://www.eastclifframsgate.nhs.uk/", "Visit Website")</f>
        <v>0</v>
      </c>
      <c r="F53" s="4">
        <v>3.3</v>
      </c>
      <c r="G53" s="5" t="s">
        <v>180</v>
      </c>
      <c r="H53" s="4">
        <v>1</v>
      </c>
      <c r="I53" s="2" t="s">
        <v>181</v>
      </c>
      <c r="J53" s="4" t="s">
        <v>182</v>
      </c>
      <c r="K53" s="3" t="str">
        <f>HYPERLINK("https://www.google.com/maps/reviews/data=!4m8!14m7!1m6!2m5!1sCi9DQUlRQUNvZENodHljRjlvT25kalpFVjNZVFV4WlZGWllrMTBiRFJNWW5JeGFsRRAB!2m1!1s0x0:0xaae056b151243834!3m1!1s2@1:CAIQACodChtycF9oOndjZEV3YTUxZVFZYk10bDRMYnIxalE%7C%7C?hl=en", "View Link")</f>
        <v>View Link</v>
      </c>
      <c r="L53" s="3">
        <f>HYPERLINK("https://www.google.com/maps/search/?api=1&amp;query=East%20Cliff%20Practice&amp;query_place_id=ChIJZeZIyaxU2UcRNDgkUbFW4Ko", "Open Map")</f>
        <v>0</v>
      </c>
    </row>
    <row r="54" spans="1:12" ht="20" customHeight="1">
      <c r="A54" s="2"/>
      <c r="B54" s="2"/>
      <c r="C54" s="2"/>
      <c r="D54" s="2"/>
      <c r="E54" s="3"/>
      <c r="F54" s="4"/>
      <c r="G54" s="5" t="s">
        <v>183</v>
      </c>
      <c r="H54" s="4">
        <v>1</v>
      </c>
      <c r="I54" s="2" t="s">
        <v>184</v>
      </c>
      <c r="J54" s="4" t="s">
        <v>185</v>
      </c>
      <c r="K54" s="3" t="str">
        <f>HYPERLINK("https://www.google.com/maps/reviews/data=!4m8!14m7!1m6!2m5!1sCi9DQUlRQUNvZENodHljRjlvT2xKc1ZuQkpWRFJ6TWpaNmRHbHFSVmhMYVhBeFkzYxAB!2m1!1s0x0:0xaae056b151243834!3m1!1s2@1:CAIQACodChtycF9oOlJsVnBJVDRzMjZ6dGlqRVhLaXAxY3c%7C%7C?hl=en", "View Link")</f>
        <v>View Link</v>
      </c>
      <c r="L54" s="3"/>
    </row>
    <row r="55" spans="1:12" ht="20" customHeight="1">
      <c r="A55" s="2"/>
      <c r="B55" s="2"/>
      <c r="C55" s="2"/>
      <c r="D55" s="2"/>
      <c r="E55" s="3"/>
      <c r="F55" s="4"/>
      <c r="G55" s="5" t="s">
        <v>186</v>
      </c>
      <c r="H55" s="4">
        <v>1</v>
      </c>
      <c r="I55" s="2" t="s">
        <v>187</v>
      </c>
      <c r="J55" s="4" t="s">
        <v>188</v>
      </c>
      <c r="K55" s="3" t="str">
        <f>HYPERLINK("https://www.google.com/maps/reviews/data=!4m8!14m7!1m6!2m5!1sChZDSUhNMG9nS0VJQ0FnTUR3bklmZVNnEAE!2m1!1s0x0:0xaae056b151243834!3m1!1s2@1:CIHM0ogKEICAgMDwnIfeSg%7C%7C?hl=en", "View Link")</f>
        <v>View Link</v>
      </c>
      <c r="L55" s="3"/>
    </row>
    <row r="56" spans="1:12" ht="20" customHeight="1">
      <c r="A56" s="2"/>
      <c r="B56" s="2"/>
      <c r="C56" s="2"/>
      <c r="D56" s="2"/>
      <c r="E56" s="3"/>
      <c r="F56" s="4"/>
      <c r="G56" s="5" t="s">
        <v>189</v>
      </c>
      <c r="H56" s="4">
        <v>1</v>
      </c>
      <c r="I56" s="2" t="s">
        <v>190</v>
      </c>
      <c r="J56" s="4" t="s">
        <v>191</v>
      </c>
      <c r="K56" s="3" t="str">
        <f>HYPERLINK("https://www.google.com/maps/reviews/data=!4m8!14m7!1m6!2m5!1sChdDSUhNMG9nS0VJQ0FnTURncmRtQ2x3RRAB!2m1!1s0x0:0xaae056b151243834!3m1!1s2@1:CIHM0ogKEICAgMDgrdmClwE%7C%7C?hl=en", "View Link")</f>
        <v>View Link</v>
      </c>
      <c r="L56" s="3"/>
    </row>
    <row r="57" spans="1:12" ht="20" customHeight="1">
      <c r="A57" s="2"/>
      <c r="B57" s="2"/>
      <c r="C57" s="2"/>
      <c r="D57" s="2"/>
      <c r="E57" s="3"/>
      <c r="F57" s="4"/>
      <c r="G57" s="5" t="s">
        <v>192</v>
      </c>
      <c r="H57" s="4">
        <v>1</v>
      </c>
      <c r="I57" s="2" t="s">
        <v>193</v>
      </c>
      <c r="J57" s="4" t="s">
        <v>194</v>
      </c>
      <c r="K57" s="3" t="str">
        <f>HYPERLINK("https://www.google.com/maps/reviews/data=!4m8!14m7!1m6!2m5!1sChRDSUhNMG9nS0VJQ0FnSURoM3VRRBAB!2m1!1s0x0:0xaae056b151243834!3m1!1s2@1:CIHM0ogKEICAgIDh3uQD%7C%7C?hl=en", "View Link")</f>
        <v>View Link</v>
      </c>
      <c r="L57" s="3"/>
    </row>
    <row r="58" spans="1:12" ht="20" customHeight="1">
      <c r="A58" s="2"/>
      <c r="B58" s="2"/>
      <c r="C58" s="2"/>
      <c r="D58" s="2"/>
      <c r="E58" s="3"/>
      <c r="F58" s="4"/>
      <c r="G58" s="5" t="s">
        <v>195</v>
      </c>
      <c r="H58" s="4">
        <v>1</v>
      </c>
      <c r="I58" s="2" t="s">
        <v>196</v>
      </c>
      <c r="J58" s="4" t="s">
        <v>197</v>
      </c>
      <c r="K58" s="3" t="str">
        <f>HYPERLINK("https://www.google.com/maps/reviews/data=!4m8!14m7!1m6!2m5!1sChZDSUhNMG9nS0VJQ0FnSUR4bXU2Z1ZBEAE!2m1!1s0x0:0xaae056b151243834!3m1!1s2@1:CIHM0ogKEICAgIDxmu6gVA%7C%7C?hl=en", "View Link")</f>
        <v>View Link</v>
      </c>
      <c r="L58" s="3"/>
    </row>
    <row r="59" spans="1:12" ht="20" customHeight="1">
      <c r="A59" s="2"/>
      <c r="B59" s="2"/>
      <c r="C59" s="2"/>
      <c r="D59" s="2"/>
      <c r="E59" s="3"/>
      <c r="F59" s="4"/>
      <c r="G59" s="5" t="s">
        <v>198</v>
      </c>
      <c r="H59" s="4">
        <v>1</v>
      </c>
      <c r="I59" s="2" t="s">
        <v>199</v>
      </c>
      <c r="J59" s="4" t="s">
        <v>200</v>
      </c>
      <c r="K59" s="3" t="str">
        <f>HYPERLINK("https://www.google.com/maps/reviews/data=!4m8!14m7!1m6!2m5!1sChZDSUhNMG9nS0VJQ0FnSUMyLWNpVGZBEAE!2m1!1s0x0:0xaae056b151243834!3m1!1s2@1:CIHM0ogKEICAgIC2-ciTfA%7C%7C?hl=en", "View Link")</f>
        <v>View Link</v>
      </c>
      <c r="L59" s="3"/>
    </row>
    <row r="60" spans="1:12" ht="20" customHeight="1">
      <c r="A60" s="2"/>
      <c r="B60" s="2"/>
      <c r="C60" s="2"/>
      <c r="D60" s="2"/>
      <c r="E60" s="3"/>
      <c r="F60" s="4"/>
      <c r="G60" s="5" t="s">
        <v>201</v>
      </c>
      <c r="H60" s="4">
        <v>1</v>
      </c>
      <c r="I60" s="2" t="s">
        <v>202</v>
      </c>
      <c r="J60" s="4" t="s">
        <v>203</v>
      </c>
      <c r="K60" s="3" t="str">
        <f>HYPERLINK("https://www.google.com/maps/reviews/data=!4m8!14m7!1m6!2m5!1sChdDSUhNMG9nS0VJQ0FnSUNYdDl5TmxRRRAB!2m1!1s0x0:0xaae056b151243834!3m1!1s2@1:CIHM0ogKEICAgICXt9yNlQE%7C%7C?hl=en", "View Link")</f>
        <v>View Link</v>
      </c>
      <c r="L60" s="3"/>
    </row>
    <row r="61" spans="1:12" ht="20" customHeight="1">
      <c r="A61" s="2"/>
      <c r="B61" s="2"/>
      <c r="C61" s="2"/>
      <c r="D61" s="2"/>
      <c r="E61" s="3"/>
      <c r="F61" s="4"/>
      <c r="G61" s="5" t="s">
        <v>204</v>
      </c>
      <c r="H61" s="4">
        <v>1</v>
      </c>
      <c r="I61" s="2" t="s">
        <v>205</v>
      </c>
      <c r="J61" s="4" t="s">
        <v>206</v>
      </c>
      <c r="K61" s="3" t="str">
        <f>HYPERLINK("https://www.google.com/maps/reviews/data=!4m8!14m7!1m6!2m5!1sChZDSUhNMG9nS0VJQ0FnSUREcnNqcUp3EAE!2m1!1s0x0:0xaae056b151243834!3m1!1s2@1:CIHM0ogKEICAgIDDrsjqJw%7C%7C?hl=en", "View Link")</f>
        <v>View Link</v>
      </c>
      <c r="L61" s="3"/>
    </row>
    <row r="62" spans="1:12" ht="20" customHeight="1">
      <c r="A62" s="2"/>
      <c r="B62" s="2"/>
      <c r="C62" s="2"/>
      <c r="D62" s="2"/>
      <c r="E62" s="3"/>
      <c r="F62" s="4"/>
      <c r="G62" s="5" t="s">
        <v>207</v>
      </c>
      <c r="H62" s="4">
        <v>1</v>
      </c>
      <c r="I62" s="2" t="s">
        <v>208</v>
      </c>
      <c r="J62" s="4" t="s">
        <v>209</v>
      </c>
      <c r="K62" s="3" t="str">
        <f>HYPERLINK("https://www.google.com/maps/reviews/data=!4m8!14m7!1m6!2m5!1sChZDSUhNMG9nS0VJQ0FnSUQ2N2RqcUpREAE!2m1!1s0x0:0xaae056b151243834!3m1!1s2@1:CIHM0ogKEICAgID67djqJQ%7C%7C?hl=en", "View Link")</f>
        <v>View Link</v>
      </c>
      <c r="L62" s="3"/>
    </row>
    <row r="63" spans="1:12" ht="20" customHeight="1">
      <c r="A63" s="2" t="s">
        <v>210</v>
      </c>
      <c r="B63" s="2" t="s">
        <v>211</v>
      </c>
      <c r="C63" s="2" t="s">
        <v>212</v>
      </c>
      <c r="D63" s="2" t="s">
        <v>15</v>
      </c>
      <c r="E63" s="3">
        <f>HYPERLINK("http://skinandlaser.co.uk/", "Visit Website")</f>
        <v>0</v>
      </c>
      <c r="F63" s="4">
        <v>4.4</v>
      </c>
      <c r="G63" s="5" t="s">
        <v>213</v>
      </c>
      <c r="H63" s="4">
        <v>1</v>
      </c>
      <c r="I63" s="2" t="s">
        <v>214</v>
      </c>
      <c r="J63" s="4" t="s">
        <v>215</v>
      </c>
      <c r="K63" s="3" t="str">
        <f>HYPERLINK("https://www.google.com/maps/reviews/data=!4m8!14m7!1m6!2m5!1sChdDSUhNMG9nS0VLWE45YS1ndnZLM3lBRRAB!2m1!1s0x0:0xf00270b69aed6224!3m1!1s2@1:CIHM0ogKEKXN9a-gvvK3yAE%7C%7C?hl=en", "View Link")</f>
        <v>View Link</v>
      </c>
      <c r="L63" s="3">
        <f>HYPERLINK("https://www.google.com/maps/search/?api=1&amp;query=Kent%20Skin%20and%20Laser%20Clinic&amp;query_place_id=ChIJkdFAfMnL3kcRJGLtmrZwAvA", "Open Map")</f>
        <v>0</v>
      </c>
    </row>
    <row r="64" spans="1:12" ht="20" customHeight="1">
      <c r="A64" s="2"/>
      <c r="B64" s="2"/>
      <c r="C64" s="2"/>
      <c r="D64" s="2"/>
      <c r="E64" s="3"/>
      <c r="F64" s="4"/>
      <c r="G64" s="5" t="s">
        <v>216</v>
      </c>
      <c r="H64" s="4">
        <v>1</v>
      </c>
      <c r="I64" s="2" t="s">
        <v>217</v>
      </c>
      <c r="J64" s="4" t="s">
        <v>218</v>
      </c>
      <c r="K64" s="3" t="str">
        <f>HYPERLINK("https://www.google.com/maps/reviews/data=!4m8!14m7!1m6!2m5!1sCi9DQUlRQUNvZENodHljRjlvT20wNFMyaFlTM1IxV0ZsTVRtaHdkMUJsZFRGa1NGRRAB!2m1!1s0x0:0xf00270b69aed6224!3m1!1s2@1:CAIQACodChtycF9oOm04S2hYS3R1WFlMTmhwd1BldTFkSFE%7C%7C?hl=en", "View Link")</f>
        <v>View Link</v>
      </c>
      <c r="L64" s="3"/>
    </row>
    <row r="65" spans="1:12" ht="20" customHeight="1">
      <c r="A65" s="2"/>
      <c r="B65" s="2"/>
      <c r="C65" s="2"/>
      <c r="D65" s="2"/>
      <c r="E65" s="3"/>
      <c r="F65" s="4"/>
      <c r="G65" s="5" t="s">
        <v>219</v>
      </c>
      <c r="H65" s="4">
        <v>1</v>
      </c>
      <c r="I65" s="2" t="s">
        <v>220</v>
      </c>
      <c r="J65" s="4" t="s">
        <v>221</v>
      </c>
      <c r="K65" s="3" t="str">
        <f>HYPERLINK("https://www.google.com/maps/reviews/data=!4m8!14m7!1m6!2m5!1sChdDSUhNMG9nS0VJQ0FnSUNfdnRHcjl3RRAB!2m1!1s0x0:0xf00270b69aed6224!3m1!1s2@1:CIHM0ogKEICAgIC_vtGr9wE%7C%7C?hl=en", "View Link")</f>
        <v>View Link</v>
      </c>
      <c r="L65" s="3"/>
    </row>
    <row r="66" spans="1:12" ht="20" customHeight="1">
      <c r="A66" s="2"/>
      <c r="B66" s="2"/>
      <c r="C66" s="2"/>
      <c r="D66" s="2"/>
      <c r="E66" s="3"/>
      <c r="F66" s="4"/>
      <c r="G66" s="5" t="s">
        <v>222</v>
      </c>
      <c r="H66" s="4">
        <v>1</v>
      </c>
      <c r="I66" s="2" t="s">
        <v>223</v>
      </c>
      <c r="J66" s="4" t="s">
        <v>224</v>
      </c>
      <c r="K66" s="3" t="str">
        <f>HYPERLINK("https://www.google.com/maps/reviews/data=!4m8!14m7!1m6!2m5!1sChZDSUhNMG9nS0VJQ0FnSUNfOHFmaERBEAE!2m1!1s0x0:0xf00270b69aed6224!3m1!1s2@1:CIHM0ogKEICAgIC_8qfhDA%7C%7C?hl=en", "View Link")</f>
        <v>View Link</v>
      </c>
      <c r="L66" s="3"/>
    </row>
    <row r="67" spans="1:12" ht="20" customHeight="1">
      <c r="A67" s="2"/>
      <c r="B67" s="2"/>
      <c r="C67" s="2"/>
      <c r="D67" s="2"/>
      <c r="E67" s="3"/>
      <c r="F67" s="4"/>
      <c r="G67" s="5" t="s">
        <v>225</v>
      </c>
      <c r="H67" s="4">
        <v>1</v>
      </c>
      <c r="I67" s="2" t="s">
        <v>226</v>
      </c>
      <c r="J67" s="4" t="s">
        <v>227</v>
      </c>
      <c r="K67" s="3" t="str">
        <f>HYPERLINK("https://www.google.com/maps/reviews/data=!4m8!14m7!1m6!2m5!1sChdDSUhNMG9nS0VJQ0FnSUR6bktDMXlnRRAB!2m1!1s0x0:0xf00270b69aed6224!3m1!1s2@1:CIHM0ogKEICAgIDznKC1ygE%7C%7C?hl=en", "View Link")</f>
        <v>View Link</v>
      </c>
      <c r="L67" s="3"/>
    </row>
    <row r="68" spans="1:12" ht="20" customHeight="1">
      <c r="A68" s="2"/>
      <c r="B68" s="2"/>
      <c r="C68" s="2"/>
      <c r="D68" s="2"/>
      <c r="E68" s="3"/>
      <c r="F68" s="4"/>
      <c r="G68" s="5" t="s">
        <v>228</v>
      </c>
      <c r="H68" s="4">
        <v>1</v>
      </c>
      <c r="I68" s="2" t="s">
        <v>229</v>
      </c>
      <c r="J68" s="4" t="s">
        <v>230</v>
      </c>
      <c r="K68" s="3" t="str">
        <f>HYPERLINK("https://www.google.com/maps/reviews/data=!4m8!14m7!1m6!2m5!1sChZDSUhNMG9nS0VJQ0FnSUR4ODkydmF3EAE!2m1!1s0x0:0xf00270b69aed6224!3m1!1s2@1:CIHM0ogKEICAgIDx892vaw%7C%7C?hl=en", "View Link")</f>
        <v>View Link</v>
      </c>
      <c r="L68" s="3"/>
    </row>
    <row r="69" spans="1:12" ht="20" customHeight="1">
      <c r="A69" s="2"/>
      <c r="B69" s="2"/>
      <c r="C69" s="2"/>
      <c r="D69" s="2"/>
      <c r="E69" s="3"/>
      <c r="F69" s="4"/>
      <c r="G69" s="5" t="s">
        <v>231</v>
      </c>
      <c r="H69" s="4">
        <v>1</v>
      </c>
      <c r="I69" s="2" t="s">
        <v>232</v>
      </c>
      <c r="J69" s="4" t="s">
        <v>233</v>
      </c>
      <c r="K69" s="3" t="str">
        <f>HYPERLINK("https://www.google.com/maps/reviews/data=!4m8!14m7!1m6!2m5!1sChZDSUhNMG9nS0VJQ0FnSUNkcHN2d1JREAE!2m1!1s0x0:0xf00270b69aed6224!3m1!1s2@1:CIHM0ogKEICAgICdpsvwRQ%7C%7C?hl=en", "View Link")</f>
        <v>View Link</v>
      </c>
      <c r="L69" s="3"/>
    </row>
    <row r="70" spans="1:12" ht="20" customHeight="1">
      <c r="A70" s="2"/>
      <c r="B70" s="2"/>
      <c r="C70" s="2"/>
      <c r="D70" s="2"/>
      <c r="E70" s="3"/>
      <c r="F70" s="4"/>
      <c r="G70" s="5" t="s">
        <v>234</v>
      </c>
      <c r="H70" s="4">
        <v>1</v>
      </c>
      <c r="I70" s="2" t="s">
        <v>235</v>
      </c>
      <c r="J70" s="4" t="s">
        <v>236</v>
      </c>
      <c r="K70" s="3" t="str">
        <f>HYPERLINK("https://www.google.com/maps/reviews/data=!4m8!14m7!1m6!2m5!1sChdDSUhNMG9nS0VJQ0FnSUNKMHJIVnRnRRAB!2m1!1s0x0:0xf00270b69aed6224!3m1!1s2@1:CIHM0ogKEICAgICJ0rHVtgE%7C%7C?hl=en", "View Link")</f>
        <v>View Link</v>
      </c>
      <c r="L70" s="3"/>
    </row>
    <row r="71" spans="1:12" ht="20" customHeight="1">
      <c r="A71" s="2"/>
      <c r="B71" s="2"/>
      <c r="C71" s="2"/>
      <c r="D71" s="2"/>
      <c r="E71" s="3"/>
      <c r="F71" s="4"/>
      <c r="G71" s="5" t="s">
        <v>237</v>
      </c>
      <c r="H71" s="4">
        <v>1</v>
      </c>
      <c r="I71" s="2" t="s">
        <v>238</v>
      </c>
      <c r="J71" s="4" t="s">
        <v>239</v>
      </c>
      <c r="K71" s="3" t="str">
        <f>HYPERLINK("https://www.google.com/maps/reviews/data=!4m8!14m7!1m6!2m5!1sChdDSUhNMG9nS0VJU2M5dHZHNE5LSTRnRRAB!2m1!1s0x0:0xf00270b69aed6224!3m1!1s2@1:CIHM0ogKEISc9tvG4NKI4gE%7C%7C?hl=en", "View Link")</f>
        <v>View Link</v>
      </c>
      <c r="L71" s="3"/>
    </row>
    <row r="72" spans="1:12" ht="20" customHeight="1">
      <c r="A72" s="2"/>
      <c r="B72" s="2"/>
      <c r="C72" s="2"/>
      <c r="D72" s="2"/>
      <c r="E72" s="3"/>
      <c r="F72" s="4"/>
      <c r="G72" s="5" t="s">
        <v>240</v>
      </c>
      <c r="H72" s="4">
        <v>1</v>
      </c>
      <c r="I72" s="2" t="s">
        <v>241</v>
      </c>
      <c r="J72" s="4" t="s">
        <v>242</v>
      </c>
      <c r="K72" s="3" t="str">
        <f>HYPERLINK("https://www.google.com/maps/reviews/data=!4m8!14m7!1m6!2m5!1sChZDSUhNMG9nS0VJQ0FnSURSalp6aFBnEAE!2m1!1s0x0:0xf00270b69aed6224!3m1!1s2@1:CIHM0ogKEICAgIDRjZzhPg%7C%7C?hl=en", "View Link")</f>
        <v>View Link</v>
      </c>
      <c r="L72" s="3"/>
    </row>
    <row r="73" spans="1:12" ht="20" customHeight="1">
      <c r="A73" s="2" t="s">
        <v>243</v>
      </c>
      <c r="B73" s="2" t="s">
        <v>244</v>
      </c>
      <c r="C73" s="2" t="s">
        <v>245</v>
      </c>
      <c r="D73" s="2" t="s">
        <v>246</v>
      </c>
      <c r="E73" s="3">
        <f>HYPERLINK("http://www.ekhuft.nhs.uk/", "Visit Website")</f>
        <v>0</v>
      </c>
      <c r="F73" s="4">
        <v>3.5</v>
      </c>
      <c r="G73" s="5" t="s">
        <v>247</v>
      </c>
      <c r="H73" s="4">
        <v>1</v>
      </c>
      <c r="I73" s="2" t="s">
        <v>248</v>
      </c>
      <c r="J73" s="4" t="s">
        <v>249</v>
      </c>
      <c r="K73" s="3" t="str">
        <f>HYPERLINK("https://www.google.com/maps/reviews/data=!4m8!14m7!1m6!2m5!1sCi9DQUlRQUNvZENodHljRjlvT2xoRlYwZENUMFV3UW05S0xYYzBRbkZHVlY5VlRuYxAB!2m1!1s0x0:0x97c2afe0c0343c45!3m1!1s2@1:CAIQACodChtycF9oOlhFV0dCT0UwQm9KLXc0QnFGVV9VTnc%7C%7C?hl=en", "View Link")</f>
        <v>View Link</v>
      </c>
      <c r="L73" s="3">
        <f>HYPERLINK("https://www.google.com/maps/search/?api=1&amp;query=Queen%20Elizabeth%20The%20Queen%20Mother%20Hospital%20Emergency%20Room&amp;query_place_id=ChIJtTKVCQlT2UcRRTw0wOCvwpc", "Open Map")</f>
        <v>0</v>
      </c>
    </row>
    <row r="74" spans="1:12" ht="20" customHeight="1">
      <c r="A74" s="2"/>
      <c r="B74" s="2"/>
      <c r="C74" s="2"/>
      <c r="D74" s="2"/>
      <c r="E74" s="3"/>
      <c r="F74" s="4"/>
      <c r="G74" s="5" t="s">
        <v>250</v>
      </c>
      <c r="H74" s="4">
        <v>1</v>
      </c>
      <c r="I74" s="2" t="s">
        <v>251</v>
      </c>
      <c r="J74" s="4" t="s">
        <v>252</v>
      </c>
      <c r="K74" s="3" t="str">
        <f>HYPERLINK("https://www.google.com/maps/reviews/data=!4m8!14m7!1m6!2m5!1sChdDSUhNMG9nS0VJQ0FnSUNUdHVxT25RRRAB!2m1!1s0x0:0x97c2afe0c0343c45!3m1!1s2@1:CIHM0ogKEICAgICTtuqOnQE%7C%7C?hl=en", "View Link")</f>
        <v>View Link</v>
      </c>
      <c r="L74" s="3"/>
    </row>
    <row r="75" spans="1:12" ht="20" customHeight="1">
      <c r="A75" s="2"/>
      <c r="B75" s="2"/>
      <c r="C75" s="2"/>
      <c r="D75" s="2"/>
      <c r="E75" s="3"/>
      <c r="F75" s="4"/>
      <c r="G75" s="5" t="s">
        <v>253</v>
      </c>
      <c r="H75" s="4">
        <v>1</v>
      </c>
      <c r="I75" s="2" t="s">
        <v>254</v>
      </c>
      <c r="J75" s="4" t="s">
        <v>255</v>
      </c>
      <c r="K75" s="3" t="str">
        <f>HYPERLINK("https://www.google.com/maps/reviews/data=!4m8!14m7!1m6!2m5!1sChZDSUhNMG9nS0VJQ0FnSURNMTZMclBREAE!2m1!1s0x0:0x97c2afe0c0343c45!3m1!1s2@1:CIHM0ogKEICAgIDM16LrPQ%7C%7C?hl=en", "View Link")</f>
        <v>View Link</v>
      </c>
      <c r="L75" s="3"/>
    </row>
    <row r="76" spans="1:12" ht="20" customHeight="1">
      <c r="A76" s="2"/>
      <c r="B76" s="2"/>
      <c r="C76" s="2"/>
      <c r="D76" s="2"/>
      <c r="E76" s="3"/>
      <c r="F76" s="4"/>
      <c r="G76" s="5" t="s">
        <v>256</v>
      </c>
      <c r="H76" s="4">
        <v>1</v>
      </c>
      <c r="I76" s="2" t="s">
        <v>257</v>
      </c>
      <c r="J76" s="4" t="s">
        <v>258</v>
      </c>
      <c r="K76" s="3" t="str">
        <f>HYPERLINK("https://www.google.com/maps/reviews/data=!4m8!14m7!1m6!2m5!1sChdDSUhNMG9nS0VJQ0FnSURyZ3AtSXdnRRAB!2m1!1s0x0:0x97c2afe0c0343c45!3m1!1s2@1:CIHM0ogKEICAgIDrgp-IwgE%7C%7C?hl=en", "View Link")</f>
        <v>View Link</v>
      </c>
      <c r="L76" s="3"/>
    </row>
    <row r="77" spans="1:12" ht="20" customHeight="1">
      <c r="A77" s="2"/>
      <c r="B77" s="2"/>
      <c r="C77" s="2"/>
      <c r="D77" s="2"/>
      <c r="E77" s="3"/>
      <c r="F77" s="4"/>
      <c r="G77" s="5" t="s">
        <v>259</v>
      </c>
      <c r="H77" s="4">
        <v>1</v>
      </c>
      <c r="I77" s="2" t="s">
        <v>260</v>
      </c>
      <c r="J77" s="4" t="s">
        <v>261</v>
      </c>
      <c r="K77" s="3" t="str">
        <f>HYPERLINK("https://www.google.com/maps/reviews/data=!4m8!14m7!1m6!2m5!1sChZDSUhNMG9nS0VJQ0FnSUNMeFliVFhBEAE!2m1!1s0x0:0x97c2afe0c0343c45!3m1!1s2@1:CIHM0ogKEICAgICLxYbTXA%7C%7C?hl=en", "View Link")</f>
        <v>View Link</v>
      </c>
      <c r="L77" s="3"/>
    </row>
    <row r="78" spans="1:12" ht="20" customHeight="1">
      <c r="A78" s="2"/>
      <c r="B78" s="2"/>
      <c r="C78" s="2"/>
      <c r="D78" s="2"/>
      <c r="E78" s="3"/>
      <c r="F78" s="4"/>
      <c r="G78" s="5" t="s">
        <v>262</v>
      </c>
      <c r="H78" s="4">
        <v>1</v>
      </c>
      <c r="I78" s="2" t="s">
        <v>263</v>
      </c>
      <c r="J78" s="4" t="s">
        <v>264</v>
      </c>
      <c r="K78" s="3" t="str">
        <f>HYPERLINK("https://www.google.com/maps/reviews/data=!4m8!14m7!1m6!2m5!1sChdDSUhNMG9nS0VJQ0FnSUNveS1iNWl3RRAB!2m1!1s0x0:0x97c2afe0c0343c45!3m1!1s2@1:CIHM0ogKEICAgICoy-b5iwE%7C%7C?hl=en", "View Link")</f>
        <v>View Link</v>
      </c>
      <c r="L78" s="3"/>
    </row>
    <row r="79" spans="1:12" ht="20" customHeight="1">
      <c r="A79" s="2"/>
      <c r="B79" s="2"/>
      <c r="C79" s="2"/>
      <c r="D79" s="2"/>
      <c r="E79" s="3"/>
      <c r="F79" s="4"/>
      <c r="G79" s="5" t="s">
        <v>265</v>
      </c>
      <c r="H79" s="4">
        <v>1</v>
      </c>
      <c r="I79" s="2" t="s">
        <v>266</v>
      </c>
      <c r="J79" s="4" t="s">
        <v>267</v>
      </c>
      <c r="K79" s="3" t="str">
        <f>HYPERLINK("https://www.google.com/maps/reviews/data=!4m8!14m7!1m6!2m5!1sChdDSUhNMG9nS0VJQ0FnSURkbks2QXV3RRAB!2m1!1s0x0:0x97c2afe0c0343c45!3m1!1s2@1:CIHM0ogKEICAgIDdnK6AuwE%7C%7C?hl=en", "View Link")</f>
        <v>View Link</v>
      </c>
      <c r="L79" s="3"/>
    </row>
    <row r="80" spans="1:12" ht="20" customHeight="1">
      <c r="A80" s="2"/>
      <c r="B80" s="2"/>
      <c r="C80" s="2"/>
      <c r="D80" s="2"/>
      <c r="E80" s="3"/>
      <c r="F80" s="4"/>
      <c r="G80" s="5" t="s">
        <v>268</v>
      </c>
      <c r="H80" s="4">
        <v>1</v>
      </c>
      <c r="I80" s="2" t="s">
        <v>269</v>
      </c>
      <c r="J80" s="4" t="s">
        <v>270</v>
      </c>
      <c r="K80" s="3" t="str">
        <f>HYPERLINK("https://www.google.com/maps/reviews/data=!4m8!14m7!1m6!2m5!1sCi9DQUlRQUNvZENodHljRjlvT2taV1ZFUnVVMkpWYW5KeVRHUlpNakZyUzFNMWFGRRAB!2m1!1s0x0:0x97c2afe0c0343c45!3m1!1s2@1:CAIQACodChtycF9oOkZWVERuU2JVanJyTGRZMjFrS1M1aFE%7C%7C?hl=en", "View Link")</f>
        <v>View Link</v>
      </c>
      <c r="L80" s="3"/>
    </row>
    <row r="81" spans="1:12" ht="20" customHeight="1">
      <c r="A81" s="2"/>
      <c r="B81" s="2"/>
      <c r="C81" s="2"/>
      <c r="D81" s="2"/>
      <c r="E81" s="3"/>
      <c r="F81" s="4"/>
      <c r="G81" s="5" t="s">
        <v>271</v>
      </c>
      <c r="H81" s="4">
        <v>1</v>
      </c>
      <c r="I81" s="2" t="s">
        <v>272</v>
      </c>
      <c r="J81" s="4" t="s">
        <v>273</v>
      </c>
      <c r="K81" s="3" t="str">
        <f>HYPERLINK("https://www.google.com/maps/reviews/data=!4m8!14m7!1m6!2m5!1sCi9DQUlRQUNvZENodHljRjlvT2s4eFdVRTRTbDlPYUVkeU1rVkJVbUo2WldoRWJXYxAB!2m1!1s0x0:0x97c2afe0c0343c45!3m1!1s2@1:CAIQACodChtycF9oOk8xWUE4Sl9OaEdyMkVBUmJ6ZWhEbWc%7C%7C?hl=en", "View Link")</f>
        <v>View Link</v>
      </c>
      <c r="L81" s="3"/>
    </row>
    <row r="82" spans="1:12" ht="20" customHeight="1">
      <c r="A82" s="2"/>
      <c r="B82" s="2"/>
      <c r="C82" s="2"/>
      <c r="D82" s="2"/>
      <c r="E82" s="3"/>
      <c r="F82" s="4"/>
      <c r="G82" s="5" t="s">
        <v>274</v>
      </c>
      <c r="H82" s="4">
        <v>1</v>
      </c>
      <c r="I82" s="2"/>
      <c r="J82" s="4" t="s">
        <v>275</v>
      </c>
      <c r="K82" s="3" t="str">
        <f>HYPERLINK("https://www.google.com/maps/reviews/data=!4m8!14m7!1m6!2m5!1sCi9DQUlRQUNvZENodHljRjlvT2t4amJuaEtXRlI0VG5WcFlVZE9lRkJIVGpoNUxVRRAB!2m1!1s0x0:0x97c2afe0c0343c45!3m1!1s2@1:CAIQACodChtycF9oOkxjbnhKWFR4TnVpYUdOeFBHTjh5LUE%7C%7C?hl=en", "View Link")</f>
        <v>View Link</v>
      </c>
      <c r="L82" s="3"/>
    </row>
    <row r="83" spans="1:12" ht="20" customHeight="1">
      <c r="A83" s="2" t="s">
        <v>276</v>
      </c>
      <c r="B83" s="2" t="s">
        <v>277</v>
      </c>
      <c r="C83" s="2" t="s">
        <v>78</v>
      </c>
      <c r="D83" s="2" t="s">
        <v>15</v>
      </c>
      <c r="E83" s="3">
        <f>HYPERLINK("https://www.sknclinics.co.uk/clinics/the-south/southampton-east-street", "Visit Website")</f>
        <v>0</v>
      </c>
      <c r="F83" s="4">
        <v>4.4</v>
      </c>
      <c r="G83" s="5" t="s">
        <v>278</v>
      </c>
      <c r="H83" s="4">
        <v>1</v>
      </c>
      <c r="I83" s="2" t="s">
        <v>279</v>
      </c>
      <c r="J83" s="4" t="s">
        <v>280</v>
      </c>
      <c r="K83" s="3" t="str">
        <f>HYPERLINK("https://www.google.com/maps/reviews/data=!4m8!14m7!1m6!2m5!1sChdDSUhNMG9nS0VJQ0FnSUMxMU51dnR3RRAB!2m1!1s0x0:0x1c4d770912c41a20!3m1!1s2@1:CIHM0ogKEICAgIC11NuvtwE%7C%7C?hl=en", "View Link")</f>
        <v>View Link</v>
      </c>
      <c r="L83" s="3">
        <f>HYPERLINK("https://www.google.com/maps/search/?api=1&amp;query=sk%3An%20Southampton%20East%20Street&amp;query_place_id=ChIJA6Ui17V2dEgRIBrEEgl3TRw", "Open Map")</f>
        <v>0</v>
      </c>
    </row>
    <row r="84" spans="1:12" ht="20" customHeight="1">
      <c r="A84" s="2"/>
      <c r="B84" s="2"/>
      <c r="C84" s="2"/>
      <c r="D84" s="2"/>
      <c r="E84" s="3"/>
      <c r="F84" s="4"/>
      <c r="G84" s="5" t="s">
        <v>281</v>
      </c>
      <c r="H84" s="4">
        <v>1</v>
      </c>
      <c r="I84" s="2" t="s">
        <v>282</v>
      </c>
      <c r="J84" s="4" t="s">
        <v>283</v>
      </c>
      <c r="K84" s="3" t="str">
        <f>HYPERLINK("https://www.google.com/maps/reviews/data=!4m8!14m7!1m6!2m5!1sChZDSUhNMG9nS0VJQ0FnSURwaDktRVdBEAE!2m1!1s0x0:0x1c4d770912c41a20!3m1!1s2@1:CIHM0ogKEICAgIDph9-EWA%7C%7C?hl=en", "View Link")</f>
        <v>View Link</v>
      </c>
      <c r="L84" s="3"/>
    </row>
    <row r="85" spans="1:12" ht="20" customHeight="1">
      <c r="A85" s="2"/>
      <c r="B85" s="2"/>
      <c r="C85" s="2"/>
      <c r="D85" s="2"/>
      <c r="E85" s="3"/>
      <c r="F85" s="4"/>
      <c r="G85" s="5" t="s">
        <v>284</v>
      </c>
      <c r="H85" s="4">
        <v>1</v>
      </c>
      <c r="I85" s="2" t="s">
        <v>285</v>
      </c>
      <c r="J85" s="4" t="s">
        <v>286</v>
      </c>
      <c r="K85" s="3" t="str">
        <f>HYPERLINK("https://www.google.com/maps/reviews/data=!4m8!14m7!1m6!2m5!1sChdDSUhNMG9nS0VJQ0FnSURybll2d3J3RRAB!2m1!1s0x0:0x1c4d770912c41a20!3m1!1s2@1:CIHM0ogKEICAgIDrnYvwrwE%7C%7C?hl=en", "View Link")</f>
        <v>View Link</v>
      </c>
      <c r="L85" s="3"/>
    </row>
    <row r="86" spans="1:12" ht="20" customHeight="1">
      <c r="A86" s="2"/>
      <c r="B86" s="2"/>
      <c r="C86" s="2"/>
      <c r="D86" s="2"/>
      <c r="E86" s="3"/>
      <c r="F86" s="4"/>
      <c r="G86" s="5" t="s">
        <v>287</v>
      </c>
      <c r="H86" s="4">
        <v>1</v>
      </c>
      <c r="I86" s="2" t="s">
        <v>288</v>
      </c>
      <c r="J86" s="4" t="s">
        <v>289</v>
      </c>
      <c r="K86" s="3" t="str">
        <f>HYPERLINK("https://www.google.com/maps/reviews/data=!4m8!14m7!1m6!2m5!1sChdDSUhNMG9nS0VJQ0FnSURIdF91ZnJnRRAB!2m1!1s0x0:0x1c4d770912c41a20!3m1!1s2@1:CIHM0ogKEICAgIDHt_ufrgE%7C%7C?hl=en", "View Link")</f>
        <v>View Link</v>
      </c>
      <c r="L86" s="3"/>
    </row>
    <row r="87" spans="1:12" ht="20" customHeight="1">
      <c r="A87" s="2"/>
      <c r="B87" s="2"/>
      <c r="C87" s="2"/>
      <c r="D87" s="2"/>
      <c r="E87" s="3"/>
      <c r="F87" s="4"/>
      <c r="G87" s="5" t="s">
        <v>290</v>
      </c>
      <c r="H87" s="4">
        <v>1</v>
      </c>
      <c r="I87" s="2" t="s">
        <v>291</v>
      </c>
      <c r="J87" s="4" t="s">
        <v>292</v>
      </c>
      <c r="K87" s="3" t="str">
        <f>HYPERLINK("https://www.google.com/maps/reviews/data=!4m8!14m7!1m6!2m5!1sChZDSUhNMG9nS0VJQ0FnSUMxb1BtMUhBEAE!2m1!1s0x0:0x1c4d770912c41a20!3m1!1s2@1:CIHM0ogKEICAgIC1oPm1HA%7C%7C?hl=en", "View Link")</f>
        <v>View Link</v>
      </c>
      <c r="L87" s="3"/>
    </row>
    <row r="88" spans="1:12" ht="20" customHeight="1">
      <c r="A88" s="2"/>
      <c r="B88" s="2"/>
      <c r="C88" s="2"/>
      <c r="D88" s="2"/>
      <c r="E88" s="3"/>
      <c r="F88" s="4"/>
      <c r="G88" s="5" t="s">
        <v>293</v>
      </c>
      <c r="H88" s="4">
        <v>1</v>
      </c>
      <c r="I88" s="2" t="s">
        <v>294</v>
      </c>
      <c r="J88" s="4" t="s">
        <v>295</v>
      </c>
      <c r="K88" s="3" t="str">
        <f>HYPERLINK("https://www.google.com/maps/reviews/data=!4m8!14m7!1m6!2m5!1sChZDSUhNMG9nS0VJQ0FnSURQOFBYZUt3EAE!2m1!1s0x0:0x1c4d770912c41a20!3m1!1s2@1:CIHM0ogKEICAgIDP8PXeKw%7C%7C?hl=en", "View Link")</f>
        <v>View Link</v>
      </c>
      <c r="L88" s="3"/>
    </row>
    <row r="89" spans="1:12" ht="20" customHeight="1">
      <c r="A89" s="2"/>
      <c r="B89" s="2"/>
      <c r="C89" s="2"/>
      <c r="D89" s="2"/>
      <c r="E89" s="3"/>
      <c r="F89" s="4"/>
      <c r="G89" s="5" t="s">
        <v>296</v>
      </c>
      <c r="H89" s="4">
        <v>1</v>
      </c>
      <c r="I89" s="2" t="s">
        <v>297</v>
      </c>
      <c r="J89" s="4" t="s">
        <v>298</v>
      </c>
      <c r="K89" s="3" t="str">
        <f>HYPERLINK("https://www.google.com/maps/reviews/data=!4m8!14m7!1m6!2m5!1sChZDSUhNMG9nS0VJQ0FnSUNWZ2ZTVVd3EAE!2m1!1s0x0:0x1c4d770912c41a20!3m1!1s2@1:CIHM0ogKEICAgICVgfSUWw%7C%7C?hl=en", "View Link")</f>
        <v>View Link</v>
      </c>
      <c r="L89" s="3"/>
    </row>
    <row r="90" spans="1:12" ht="20" customHeight="1">
      <c r="A90" s="2"/>
      <c r="B90" s="2"/>
      <c r="C90" s="2"/>
      <c r="D90" s="2"/>
      <c r="E90" s="3"/>
      <c r="F90" s="4"/>
      <c r="G90" s="5" t="s">
        <v>299</v>
      </c>
      <c r="H90" s="4">
        <v>1</v>
      </c>
      <c r="I90" s="2" t="s">
        <v>300</v>
      </c>
      <c r="J90" s="4" t="s">
        <v>301</v>
      </c>
      <c r="K90" s="3" t="str">
        <f>HYPERLINK("https://www.google.com/maps/reviews/data=!4m8!14m7!1m6!2m5!1sChZDSUhNMG9nS0VJQ0FnSUNhNE5lLVpBEAE!2m1!1s0x0:0x1c4d770912c41a20!3m1!1s2@1:CIHM0ogKEICAgICa4Ne-ZA%7C%7C?hl=en", "View Link")</f>
        <v>View Link</v>
      </c>
      <c r="L90" s="3"/>
    </row>
    <row r="91" spans="1:12" ht="20" customHeight="1">
      <c r="A91" s="2"/>
      <c r="B91" s="2"/>
      <c r="C91" s="2"/>
      <c r="D91" s="2"/>
      <c r="E91" s="3"/>
      <c r="F91" s="4"/>
      <c r="G91" s="5" t="s">
        <v>302</v>
      </c>
      <c r="H91" s="4">
        <v>1</v>
      </c>
      <c r="I91" s="2" t="s">
        <v>303</v>
      </c>
      <c r="J91" s="4" t="s">
        <v>304</v>
      </c>
      <c r="K91" s="3" t="str">
        <f>HYPERLINK("https://www.google.com/maps/reviews/data=!4m8!14m7!1m6!2m5!1sChZDSUhNMG9nS0VJQ0FnSUNta3AtSUdBEAE!2m1!1s0x0:0x1c4d770912c41a20!3m1!1s2@1:CIHM0ogKEICAgICmkp-IGA%7C%7C?hl=en", "View Link")</f>
        <v>View Link</v>
      </c>
      <c r="L91" s="3"/>
    </row>
    <row r="92" spans="1:12" ht="20" customHeight="1">
      <c r="A92" s="2"/>
      <c r="B92" s="2"/>
      <c r="C92" s="2"/>
      <c r="D92" s="2"/>
      <c r="E92" s="3"/>
      <c r="F92" s="4"/>
      <c r="G92" s="5" t="s">
        <v>305</v>
      </c>
      <c r="H92" s="4">
        <v>1</v>
      </c>
      <c r="I92" s="2" t="s">
        <v>306</v>
      </c>
      <c r="J92" s="4" t="s">
        <v>307</v>
      </c>
      <c r="K92" s="3" t="str">
        <f>HYPERLINK("https://www.google.com/maps/reviews/data=!4m8!14m7!1m6!2m5!1sChdDSUhNMG9nS0VJQ0FnSURBa2VtenlnRRAB!2m1!1s0x0:0x1c4d770912c41a20!3m1!1s2@1:CIHM0ogKEICAgIDAkemzygE%7C%7C?hl=en", "View Link")</f>
        <v>View Link</v>
      </c>
      <c r="L92" s="3"/>
    </row>
    <row r="93" spans="1:12" ht="20" customHeight="1">
      <c r="A93" s="2" t="s">
        <v>308</v>
      </c>
      <c r="B93" s="2" t="s">
        <v>309</v>
      </c>
      <c r="C93" s="2" t="s">
        <v>310</v>
      </c>
      <c r="D93" s="2" t="s">
        <v>15</v>
      </c>
      <c r="E93" s="3">
        <f>HYPERLINK("https://www.topdoctors.co.uk/doctor/christopher-heaton", "Visit Website")</f>
        <v>0</v>
      </c>
      <c r="F93" s="4">
        <v>3.7</v>
      </c>
      <c r="G93" s="5" t="s">
        <v>311</v>
      </c>
      <c r="H93" s="4">
        <v>1</v>
      </c>
      <c r="I93" s="2" t="s">
        <v>312</v>
      </c>
      <c r="J93" s="4" t="s">
        <v>313</v>
      </c>
      <c r="K93" s="3" t="str">
        <f>HYPERLINK("https://www.google.com/maps/reviews/data=!4m8!14m7!1m6!2m5!1sChdDSUhNMG9nS0VJQ0FnSURuMlBDOXh3RRAB!2m1!1s0x0:0x306fcbf1fbac216b!3m1!1s2@1:CIHM0ogKEICAgIDn2PC9xwE%7C%7C?hl=en-US", "View Link")</f>
        <v>View Link</v>
      </c>
      <c r="L93" s="3">
        <f>HYPERLINK("https://www.google.com/maps/search/?api=1&amp;query=Dr%20Christopher%20Heaton&amp;query_place_id=ChIJ66ZC0Kx1dEgRayGs-_HLbzA", "Open Map")</f>
        <v>0</v>
      </c>
    </row>
    <row r="94" spans="1:12" ht="20" customHeight="1">
      <c r="A94" s="2"/>
      <c r="B94" s="2"/>
      <c r="C94" s="2"/>
      <c r="D94" s="2"/>
      <c r="E94" s="3"/>
      <c r="F94" s="4"/>
      <c r="G94" s="5" t="s">
        <v>314</v>
      </c>
      <c r="H94" s="4">
        <v>1</v>
      </c>
      <c r="I94" s="2"/>
      <c r="J94" s="4" t="s">
        <v>315</v>
      </c>
      <c r="K94" s="3" t="str">
        <f>HYPERLINK("https://www.google.com/maps/reviews/data=!4m8!14m7!1m6!2m5!1sChdDSUhNMG9nS0VJQ0FnSUQtMzV1MTBnRRAB!2m1!1s0x0:0x306fcbf1fbac216b!3m1!1s2@1:CIHM0ogKEICAgID-35u10gE%7C%7C?hl=en-US", "View Link")</f>
        <v>View Link</v>
      </c>
      <c r="L94" s="3"/>
    </row>
    <row r="95" spans="1:12" ht="20" customHeight="1">
      <c r="A95" s="2" t="s">
        <v>316</v>
      </c>
      <c r="B95" s="2" t="s">
        <v>317</v>
      </c>
      <c r="C95" s="2" t="s">
        <v>318</v>
      </c>
      <c r="D95" s="2" t="s">
        <v>319</v>
      </c>
      <c r="E95" s="3">
        <f>HYPERLINK("https://www.laserclinics.co.uk/skin-care-clinics/southampton/?utm_source=google&amp;utm_medium=organic&amp;utm_campaign=Google%20My%20Business%20Page&amp;utm_content=Southampton&amp;utm_term=plcid_4482953836093633805", "Visit Website")</f>
        <v>0</v>
      </c>
      <c r="F95" s="4">
        <v>4.4</v>
      </c>
      <c r="G95" s="5" t="s">
        <v>320</v>
      </c>
      <c r="H95" s="4">
        <v>1</v>
      </c>
      <c r="I95" s="2" t="s">
        <v>321</v>
      </c>
      <c r="J95" s="4" t="s">
        <v>322</v>
      </c>
      <c r="K95" s="3" t="str">
        <f>HYPERLINK("https://www.google.com/maps/reviews/data=!4m8!14m7!1m6!2m5!1sCi9DQUlRQUNvZENodHljRjlvT2poVGJFVlJWRjl0TVZKeFVsbFNUVEZYTlZZeE5HYxAB!2m1!1s0x0:0xe3af9ba78bf25775!3m1!1s2@1:CAIQACodChtycF9oOjhTbEVRVF9tMVJxUllSTTFXNVYxNGc%7C%7C?hl=en", "View Link")</f>
        <v>View Link</v>
      </c>
      <c r="L95" s="3">
        <f>HYPERLINK("https://www.google.com/maps/search/?api=1&amp;query=Laser%20Clinics%20UK%20%E2%80%93%20Southampton&amp;query_place_id=ChIJVf-oNv93dEgRdVfyi6ebr-M", "Open Map")</f>
        <v>0</v>
      </c>
    </row>
    <row r="96" spans="1:12" ht="20" customHeight="1">
      <c r="A96" s="2"/>
      <c r="B96" s="2"/>
      <c r="C96" s="2"/>
      <c r="D96" s="2"/>
      <c r="E96" s="3"/>
      <c r="F96" s="4"/>
      <c r="G96" s="5" t="s">
        <v>323</v>
      </c>
      <c r="H96" s="4">
        <v>1</v>
      </c>
      <c r="I96" s="2" t="s">
        <v>324</v>
      </c>
      <c r="J96" s="4" t="s">
        <v>325</v>
      </c>
      <c r="K96" s="3" t="str">
        <f>HYPERLINK("https://www.google.com/maps/reviews/data=!4m8!14m7!1m6!2m5!1sCi9DQUlRQUNvZENodHljRjlvT25WMU1VMVNXa1kxZVdaNFIwTlZURUZHUzJoUU1YYxAB!2m1!1s0x0:0xe3af9ba78bf25775!3m1!1s2@1:CAIQACodChtycF9oOnV1MU1SWkY1eWZ4R0NVTEFGS2hQMXc%7C%7C?hl=en", "View Link")</f>
        <v>View Link</v>
      </c>
      <c r="L96" s="3"/>
    </row>
    <row r="97" spans="1:12" ht="20" customHeight="1">
      <c r="A97" s="2"/>
      <c r="B97" s="2"/>
      <c r="C97" s="2"/>
      <c r="D97" s="2"/>
      <c r="E97" s="3"/>
      <c r="F97" s="4"/>
      <c r="G97" s="5" t="s">
        <v>326</v>
      </c>
      <c r="H97" s="4">
        <v>1</v>
      </c>
      <c r="I97" s="2" t="s">
        <v>327</v>
      </c>
      <c r="J97" s="4" t="s">
        <v>328</v>
      </c>
      <c r="K97" s="3" t="str">
        <f>HYPERLINK("https://www.google.com/maps/reviews/data=!4m8!14m7!1m6!2m5!1sCi9DQUlRQUNvZENodHljRjlvT2t4dVYwNXhYMnd5YlVkRWFGZEZXVkZxYUhFelVHYxAB!2m1!1s0x0:0xe3af9ba78bf25775!3m1!1s2@1:CAIQACodChtycF9oOkxuV05xX2wybUdEaFdFWVFqaHEzUGc%7C%7C?hl=en", "View Link")</f>
        <v>View Link</v>
      </c>
      <c r="L97" s="3"/>
    </row>
    <row r="98" spans="1:12" ht="20" customHeight="1">
      <c r="A98" s="2"/>
      <c r="B98" s="2"/>
      <c r="C98" s="2"/>
      <c r="D98" s="2"/>
      <c r="E98" s="3"/>
      <c r="F98" s="4"/>
      <c r="G98" s="5" t="s">
        <v>329</v>
      </c>
      <c r="H98" s="4">
        <v>1</v>
      </c>
      <c r="I98" s="2" t="s">
        <v>330</v>
      </c>
      <c r="J98" s="4" t="s">
        <v>331</v>
      </c>
      <c r="K98" s="3" t="str">
        <f>HYPERLINK("https://www.google.com/maps/reviews/data=!4m8!14m7!1m6!2m5!1sCi9DQUlRQUNvZENodHljRjlvT2paZlEyMVZSelF0WTA1R1RsZG1ka042VUVONGJHYxAB!2m1!1s0x0:0xe3af9ba78bf25775!3m1!1s2@1:CAIQACodChtycF9oOjZfQ21VRzQtY05GTldmdkN6UEN4bGc%7C%7C?hl=en", "View Link")</f>
        <v>View Link</v>
      </c>
      <c r="L98" s="3"/>
    </row>
    <row r="99" spans="1:12" ht="20" customHeight="1">
      <c r="A99" s="2"/>
      <c r="B99" s="2"/>
      <c r="C99" s="2"/>
      <c r="D99" s="2"/>
      <c r="E99" s="3"/>
      <c r="F99" s="4"/>
      <c r="G99" s="5" t="s">
        <v>332</v>
      </c>
      <c r="H99" s="4">
        <v>1</v>
      </c>
      <c r="I99" s="2" t="s">
        <v>333</v>
      </c>
      <c r="J99" s="4" t="s">
        <v>334</v>
      </c>
      <c r="K99" s="3" t="str">
        <f>HYPERLINK("https://www.google.com/maps/reviews/data=!4m8!14m7!1m6!2m5!1sChZDSUhNMG9nS0VJQ0FnSUROeXRtSERnEAE!2m1!1s0x0:0xe3af9ba78bf25775!3m1!1s2@1:CIHM0ogKEICAgIDNytmHDg%7C%7C?hl=en", "View Link")</f>
        <v>View Link</v>
      </c>
      <c r="L99" s="3"/>
    </row>
    <row r="100" spans="1:12" ht="20" customHeight="1">
      <c r="A100" s="2"/>
      <c r="B100" s="2"/>
      <c r="C100" s="2"/>
      <c r="D100" s="2"/>
      <c r="E100" s="3"/>
      <c r="F100" s="4"/>
      <c r="G100" s="5" t="s">
        <v>335</v>
      </c>
      <c r="H100" s="4">
        <v>1</v>
      </c>
      <c r="I100" s="2" t="s">
        <v>336</v>
      </c>
      <c r="J100" s="4" t="s">
        <v>337</v>
      </c>
      <c r="K100" s="3" t="str">
        <f>HYPERLINK("https://www.google.com/maps/reviews/data=!4m8!14m7!1m6!2m5!1sChZDSUhNMG9nS0VJQ0FnSURyM2JPeGRREAE!2m1!1s0x0:0xe3af9ba78bf25775!3m1!1s2@1:CIHM0ogKEICAgIDr3bOxdQ%7C%7C?hl=en", "View Link")</f>
        <v>View Link</v>
      </c>
      <c r="L100" s="3"/>
    </row>
    <row r="101" spans="1:12" ht="20" customHeight="1">
      <c r="A101" s="2"/>
      <c r="B101" s="2"/>
      <c r="C101" s="2"/>
      <c r="D101" s="2"/>
      <c r="E101" s="3"/>
      <c r="F101" s="4"/>
      <c r="G101" s="5" t="s">
        <v>338</v>
      </c>
      <c r="H101" s="4">
        <v>1</v>
      </c>
      <c r="I101" s="2" t="s">
        <v>339</v>
      </c>
      <c r="J101" s="4" t="s">
        <v>340</v>
      </c>
      <c r="K101" s="3" t="str">
        <f>HYPERLINK("https://www.google.com/maps/reviews/data=!4m8!14m7!1m6!2m5!1sChdDSUhNMG9nS0VJQ0FnSURsN09xQ2hRRRAB!2m1!1s0x0:0xe3af9ba78bf25775!3m1!1s2@1:CIHM0ogKEICAgIDl7OqChQE%7C%7C?hl=en", "View Link")</f>
        <v>View Link</v>
      </c>
      <c r="L101" s="3"/>
    </row>
    <row r="102" spans="1:12" ht="20" customHeight="1">
      <c r="A102" s="2"/>
      <c r="B102" s="2"/>
      <c r="C102" s="2"/>
      <c r="D102" s="2"/>
      <c r="E102" s="3"/>
      <c r="F102" s="4"/>
      <c r="G102" s="5" t="s">
        <v>341</v>
      </c>
      <c r="H102" s="4">
        <v>1</v>
      </c>
      <c r="I102" s="2" t="s">
        <v>342</v>
      </c>
      <c r="J102" s="4" t="s">
        <v>343</v>
      </c>
      <c r="K102" s="3" t="str">
        <f>HYPERLINK("https://www.google.com/maps/reviews/data=!4m8!14m7!1m6!2m5!1sChZDSUhNMG9nS0VJQ0FnSUNycDhlVFZnEAE!2m1!1s0x0:0xe3af9ba78bf25775!3m1!1s2@1:CIHM0ogKEICAgICrp8eTVg%7C%7C?hl=en", "View Link")</f>
        <v>View Link</v>
      </c>
      <c r="L102" s="3"/>
    </row>
    <row r="103" spans="1:12" ht="20" customHeight="1">
      <c r="A103" s="2"/>
      <c r="B103" s="2"/>
      <c r="C103" s="2"/>
      <c r="D103" s="2"/>
      <c r="E103" s="3"/>
      <c r="F103" s="4"/>
      <c r="G103" s="5" t="s">
        <v>344</v>
      </c>
      <c r="H103" s="4">
        <v>1</v>
      </c>
      <c r="I103" s="2" t="s">
        <v>345</v>
      </c>
      <c r="J103" s="4" t="s">
        <v>346</v>
      </c>
      <c r="K103" s="3" t="str">
        <f>HYPERLINK("https://www.google.com/maps/reviews/data=!4m8!14m7!1m6!2m5!1sChdDSUhNMG9nS0VJQ0FnSUQ5ODlTd25nRRAB!2m1!1s0x0:0xe3af9ba78bf25775!3m1!1s2@1:CIHM0ogKEICAgID989SwngE%7C%7C?hl=en", "View Link")</f>
        <v>View Link</v>
      </c>
      <c r="L103" s="3"/>
    </row>
    <row r="104" spans="1:12" ht="20" customHeight="1">
      <c r="A104" s="2"/>
      <c r="B104" s="2"/>
      <c r="C104" s="2"/>
      <c r="D104" s="2"/>
      <c r="E104" s="3"/>
      <c r="F104" s="4"/>
      <c r="G104" s="5" t="s">
        <v>347</v>
      </c>
      <c r="H104" s="4">
        <v>1</v>
      </c>
      <c r="I104" s="2" t="s">
        <v>348</v>
      </c>
      <c r="J104" s="4" t="s">
        <v>349</v>
      </c>
      <c r="K104" s="3" t="str">
        <f>HYPERLINK("https://www.google.com/maps/reviews/data=!4m8!14m7!1m6!2m5!1sCi9DQUlRQUNvZENodHljRjlvT2pKU1QwcDBWMmhTWlhjeGFXcE5TV001UjBKaVpsRRAB!2m1!1s0x0:0xe3af9ba78bf25775!3m1!1s2@1:CAIQACodChtycF9oOjJST0p0V2hSZXcxaWpNSWM5R0JiZlE%7C%7C?hl=en", "View Link")</f>
        <v>View Link</v>
      </c>
      <c r="L104" s="3"/>
    </row>
    <row r="105" spans="1:12" ht="20" customHeight="1">
      <c r="A105" s="2" t="s">
        <v>350</v>
      </c>
      <c r="B105" s="2" t="s">
        <v>351</v>
      </c>
      <c r="C105" s="2" t="s">
        <v>352</v>
      </c>
      <c r="D105" s="2" t="s">
        <v>15</v>
      </c>
      <c r="E105" s="3">
        <f>HYPERLINK("https://www.uhd.nhs.uk/hospitals-christchurch", "Visit Website")</f>
        <v>0</v>
      </c>
      <c r="F105" s="4">
        <v>4.3</v>
      </c>
      <c r="G105" s="5" t="s">
        <v>353</v>
      </c>
      <c r="H105" s="4">
        <v>1</v>
      </c>
      <c r="I105" s="2" t="s">
        <v>354</v>
      </c>
      <c r="J105" s="4" t="s">
        <v>355</v>
      </c>
      <c r="K105" s="3" t="str">
        <f>HYPERLINK("https://www.google.com/maps/reviews/data=!4m8!14m7!1m6!2m5!1sCi9DQUlRQUNvZENodHljRjlvT2xCWVNIVmlUSFJRVmtWV1NIZHdTRVZMYTNwVVZHYxAB!2m1!1s0x0:0x1a0da5b5cb1e94de!3m1!1s2@1:CAIQACodChtycF9oOlBYSHViTHRQVkVWSHdwSEVLa3pUVGc%7C%7C?hl=en", "View Link")</f>
        <v>View Link</v>
      </c>
      <c r="L105" s="3">
        <f>HYPERLINK("https://www.google.com/maps/search/?api=1&amp;query=Christchurch%20Hospital&amp;query_place_id=ChIJqTDCzrCec0gR3pQey7WlDRo", "Open Map")</f>
        <v>0</v>
      </c>
    </row>
    <row r="106" spans="1:12" ht="20" customHeight="1">
      <c r="A106" s="2"/>
      <c r="B106" s="2"/>
      <c r="C106" s="2"/>
      <c r="D106" s="2"/>
      <c r="E106" s="3"/>
      <c r="F106" s="4"/>
      <c r="G106" s="5" t="s">
        <v>356</v>
      </c>
      <c r="H106" s="4">
        <v>1</v>
      </c>
      <c r="I106" s="2" t="s">
        <v>357</v>
      </c>
      <c r="J106" s="4" t="s">
        <v>358</v>
      </c>
      <c r="K106" s="3" t="str">
        <f>HYPERLINK("https://www.google.com/maps/reviews/data=!4m8!14m7!1m6!2m5!1sChdDSUhNMG9nS0VJQ0FnTUNvLXM3LS13RRAB!2m1!1s0x0:0x1a0da5b5cb1e94de!3m1!1s2@1:CIHM0ogKEICAgMCo-s7--wE%7C%7C?hl=en", "View Link")</f>
        <v>View Link</v>
      </c>
      <c r="L106" s="3"/>
    </row>
    <row r="107" spans="1:12" ht="20" customHeight="1">
      <c r="A107" s="2"/>
      <c r="B107" s="2"/>
      <c r="C107" s="2"/>
      <c r="D107" s="2"/>
      <c r="E107" s="3"/>
      <c r="F107" s="4"/>
      <c r="G107" s="5" t="s">
        <v>359</v>
      </c>
      <c r="H107" s="4">
        <v>1</v>
      </c>
      <c r="I107" s="2" t="s">
        <v>360</v>
      </c>
      <c r="J107" s="4" t="s">
        <v>361</v>
      </c>
      <c r="K107" s="3" t="str">
        <f>HYPERLINK("https://www.google.com/maps/reviews/data=!4m8!14m7!1m6!2m5!1sChZDSUhNMG9nS0VJQ0FnSUQzaUxleFpREAE!2m1!1s0x0:0x1a0da5b5cb1e94de!3m1!1s2@1:CIHM0ogKEICAgID3iLexZQ%7C%7C?hl=en", "View Link")</f>
        <v>View Link</v>
      </c>
      <c r="L107" s="3"/>
    </row>
    <row r="108" spans="1:12" ht="20" customHeight="1">
      <c r="A108" s="2"/>
      <c r="B108" s="2"/>
      <c r="C108" s="2"/>
      <c r="D108" s="2"/>
      <c r="E108" s="3"/>
      <c r="F108" s="4"/>
      <c r="G108" s="5" t="s">
        <v>362</v>
      </c>
      <c r="H108" s="4">
        <v>1</v>
      </c>
      <c r="I108" s="2" t="s">
        <v>363</v>
      </c>
      <c r="J108" s="4" t="s">
        <v>364</v>
      </c>
      <c r="K108" s="3" t="str">
        <f>HYPERLINK("https://www.google.com/maps/reviews/data=!4m8!14m7!1m6!2m5!1sChdDSUhNMG9nS0VJQ0FnSUQ3cXF1M3hRRRAB!2m1!1s0x0:0x1a0da5b5cb1e94de!3m1!1s2@1:CIHM0ogKEICAgID7qqu3xQE%7C%7C?hl=en", "View Link")</f>
        <v>View Link</v>
      </c>
      <c r="L108" s="3"/>
    </row>
    <row r="109" spans="1:12" ht="20" customHeight="1">
      <c r="A109" s="2"/>
      <c r="B109" s="2"/>
      <c r="C109" s="2"/>
      <c r="D109" s="2"/>
      <c r="E109" s="3"/>
      <c r="F109" s="4"/>
      <c r="G109" s="5" t="s">
        <v>365</v>
      </c>
      <c r="H109" s="4">
        <v>1</v>
      </c>
      <c r="I109" s="2" t="s">
        <v>366</v>
      </c>
      <c r="J109" s="4" t="s">
        <v>367</v>
      </c>
      <c r="K109" s="3" t="str">
        <f>HYPERLINK("https://www.google.com/maps/reviews/data=!4m8!14m7!1m6!2m5!1sChZDSUhNMG9nS0VJQ0FnSUR6Z1p1REtBEAE!2m1!1s0x0:0x1a0da5b5cb1e94de!3m1!1s2@1:CIHM0ogKEICAgIDzgZuDKA%7C%7C?hl=en", "View Link")</f>
        <v>View Link</v>
      </c>
      <c r="L109" s="3"/>
    </row>
    <row r="110" spans="1:12" ht="20" customHeight="1">
      <c r="A110" s="2"/>
      <c r="B110" s="2"/>
      <c r="C110" s="2"/>
      <c r="D110" s="2"/>
      <c r="E110" s="3"/>
      <c r="F110" s="4"/>
      <c r="G110" s="5" t="s">
        <v>368</v>
      </c>
      <c r="H110" s="4">
        <v>1</v>
      </c>
      <c r="I110" s="2" t="s">
        <v>369</v>
      </c>
      <c r="J110" s="4" t="s">
        <v>370</v>
      </c>
      <c r="K110" s="3" t="str">
        <f>HYPERLINK("https://www.google.com/maps/reviews/data=!4m8!14m7!1m6!2m5!1sChdDSUhNMG9nS0VJQ0FnSUMyalk3Um9RRRAB!2m1!1s0x0:0x1a0da5b5cb1e94de!3m1!1s2@1:CIHM0ogKEICAgIC2jY7RoQE%7C%7C?hl=en", "View Link")</f>
        <v>View Link</v>
      </c>
      <c r="L110" s="3"/>
    </row>
    <row r="111" spans="1:12" ht="20" customHeight="1">
      <c r="A111" s="2"/>
      <c r="B111" s="2"/>
      <c r="C111" s="2"/>
      <c r="D111" s="2"/>
      <c r="E111" s="3"/>
      <c r="F111" s="4"/>
      <c r="G111" s="5" t="s">
        <v>371</v>
      </c>
      <c r="H111" s="4">
        <v>1</v>
      </c>
      <c r="I111" s="2" t="s">
        <v>372</v>
      </c>
      <c r="J111" s="4" t="s">
        <v>373</v>
      </c>
      <c r="K111" s="3" t="str">
        <f>HYPERLINK("https://www.google.com/maps/reviews/data=!4m8!14m7!1m6!2m5!1sChdDSUhNMG9nS0VJQ0FnSUNtOThMMC1RRRAB!2m1!1s0x0:0x1a0da5b5cb1e94de!3m1!1s2@1:CIHM0ogKEICAgICm98L0-QE%7C%7C?hl=en", "View Link")</f>
        <v>View Link</v>
      </c>
      <c r="L111" s="3"/>
    </row>
    <row r="112" spans="1:12" ht="20" customHeight="1">
      <c r="A112" s="2"/>
      <c r="B112" s="2"/>
      <c r="C112" s="2"/>
      <c r="D112" s="2"/>
      <c r="E112" s="3"/>
      <c r="F112" s="4"/>
      <c r="G112" s="5" t="s">
        <v>374</v>
      </c>
      <c r="H112" s="4">
        <v>1</v>
      </c>
      <c r="I112" s="2" t="s">
        <v>375</v>
      </c>
      <c r="J112" s="4" t="s">
        <v>376</v>
      </c>
      <c r="K112" s="3" t="str">
        <f>HYPERLINK("https://www.google.com/maps/reviews/data=!4m8!14m7!1m6!2m5!1sChdDSUhNMG9nS0VJQ0FnSURILVAtM3RBRRAB!2m1!1s0x0:0x1a0da5b5cb1e94de!3m1!1s2@1:CIHM0ogKEICAgIDH-P-3tAE%7C%7C?hl=en", "View Link")</f>
        <v>View Link</v>
      </c>
      <c r="L112" s="3"/>
    </row>
    <row r="113" spans="1:12" ht="20" customHeight="1">
      <c r="A113" s="2"/>
      <c r="B113" s="2"/>
      <c r="C113" s="2"/>
      <c r="D113" s="2"/>
      <c r="E113" s="3"/>
      <c r="F113" s="4"/>
      <c r="G113" s="5" t="s">
        <v>377</v>
      </c>
      <c r="H113" s="4">
        <v>1</v>
      </c>
      <c r="I113" s="2" t="s">
        <v>378</v>
      </c>
      <c r="J113" s="4" t="s">
        <v>379</v>
      </c>
      <c r="K113" s="3" t="str">
        <f>HYPERLINK("https://www.google.com/maps/reviews/data=!4m8!14m7!1m6!2m5!1sCi9DQUlRQUNvZENodHljRjlvT21OWU9XdGFNWFl3TkhOTVprdzBVaTFWYlZNNVRVRRAB!2m1!1s0x0:0x1a0da5b5cb1e94de!3m1!1s2@1:CAIQACodChtycF9oOmNYOWtaMXYwNHNMZkw0Ui1VbVM5TUE%7C%7C?hl=en", "View Link")</f>
        <v>View Link</v>
      </c>
      <c r="L113" s="3"/>
    </row>
    <row r="114" spans="1:12" ht="20" customHeight="1">
      <c r="A114" s="2"/>
      <c r="B114" s="2"/>
      <c r="C114" s="2"/>
      <c r="D114" s="2"/>
      <c r="E114" s="3"/>
      <c r="F114" s="4"/>
      <c r="G114" s="5" t="s">
        <v>380</v>
      </c>
      <c r="H114" s="4">
        <v>1</v>
      </c>
      <c r="I114" s="2" t="s">
        <v>381</v>
      </c>
      <c r="J114" s="4" t="s">
        <v>382</v>
      </c>
      <c r="K114" s="3" t="str">
        <f>HYPERLINK("https://www.google.com/maps/reviews/data=!4m8!14m7!1m6!2m5!1sCi9DQUlRQUNvZENodHljRjlvT2kxT2FtVnJRWEZXVTFWR1JHSktTazFmY1RsM1gyYxAB!2m1!1s0x0:0x1a0da5b5cb1e94de!3m1!1s2@1:CAIQACodChtycF9oOi1OamVrQXFWU1VGRGJKSk1fcTl3X2c%7C%7C?hl=en", "View Link")</f>
        <v>View Link</v>
      </c>
      <c r="L114" s="3"/>
    </row>
    <row r="115" spans="1:12" ht="20" customHeight="1">
      <c r="A115" s="2" t="s">
        <v>383</v>
      </c>
      <c r="B115" s="2" t="s">
        <v>384</v>
      </c>
      <c r="C115" s="2" t="s">
        <v>385</v>
      </c>
      <c r="D115" s="2" t="s">
        <v>386</v>
      </c>
      <c r="E115" s="3">
        <f>HYPERLINK("http://www.avanthills.co.uk/", "Visit Website")</f>
        <v>0</v>
      </c>
      <c r="F115" s="4">
        <v>4.3</v>
      </c>
      <c r="G115" s="5" t="s">
        <v>387</v>
      </c>
      <c r="H115" s="4">
        <v>1</v>
      </c>
      <c r="I115" s="2" t="s">
        <v>388</v>
      </c>
      <c r="J115" s="4" t="s">
        <v>389</v>
      </c>
      <c r="K115" s="3" t="str">
        <f>HYPERLINK("https://www.google.com/maps/reviews/data=!4m8!14m7!1m6!2m5!1sChdDSUhNMG9nS0VJQ0FnSUNoNE5XRDF3RRAB!2m1!1s0x0:0x67704efa50d227cf!3m1!1s2@1:CIHM0ogKEICAgICh4NWD1wE%7C%7C?hl=en", "View Link")</f>
        <v>View Link</v>
      </c>
      <c r="L115" s="3">
        <f>HYPERLINK("https://www.google.com/maps/search/?api=1&amp;query=Avanthills%20Medical%20Aesthetics%2C%20Skin%20and%20Laser%20Clinic&amp;query_place_id=ChIJkaIlB_alc0gRzyfSUPpOcGc", "Open Map")</f>
        <v>0</v>
      </c>
    </row>
    <row r="116" spans="1:12" ht="20" customHeight="1">
      <c r="A116" s="2"/>
      <c r="B116" s="2"/>
      <c r="C116" s="2"/>
      <c r="D116" s="2"/>
      <c r="E116" s="3"/>
      <c r="F116" s="4"/>
      <c r="G116" s="5" t="s">
        <v>390</v>
      </c>
      <c r="H116" s="4">
        <v>1</v>
      </c>
      <c r="I116" s="2" t="s">
        <v>391</v>
      </c>
      <c r="J116" s="4" t="s">
        <v>392</v>
      </c>
      <c r="K116" s="3" t="str">
        <f>HYPERLINK("https://www.google.com/maps/reviews/data=!4m8!14m7!1m6!2m5!1sChZDSUhNMG9nS0VJQ0FnSUN0azktdFFnEAE!2m1!1s0x0:0x67704efa50d227cf!3m1!1s2@1:CIHM0ogKEICAgICtk9-tQg%7C%7C?hl=en", "View Link")</f>
        <v>View Link</v>
      </c>
      <c r="L116" s="3"/>
    </row>
    <row r="117" spans="1:12" ht="20" customHeight="1">
      <c r="A117" s="2" t="s">
        <v>393</v>
      </c>
      <c r="B117" s="2" t="s">
        <v>394</v>
      </c>
      <c r="C117" s="2" t="s">
        <v>395</v>
      </c>
      <c r="D117" s="2" t="s">
        <v>15</v>
      </c>
      <c r="E117" s="3" t="s">
        <v>15</v>
      </c>
      <c r="F117" s="4">
        <v>4.2</v>
      </c>
      <c r="G117" s="5" t="s">
        <v>396</v>
      </c>
      <c r="H117" s="4">
        <v>1</v>
      </c>
      <c r="I117" s="2" t="s">
        <v>397</v>
      </c>
      <c r="J117" s="4" t="s">
        <v>398</v>
      </c>
      <c r="K117" s="3" t="str">
        <f>HYPERLINK("https://www.google.com/maps/reviews/data=!4m8!14m7!1m6!2m5!1sCi9DQUlRQUNvZENodHljRjlvT2tWemNESkJPRXhRU1dsMmRsazJZVVozVjJOT09XYxAB!2m1!1s0x0:0xdac457221eb44aec!3m1!1s2@1:CAIQACodChtycF9oOkVzcDJBOExQSWl2dlk2YUZ3V2NOOWc%7C%7C?hl=en", "View Link")</f>
        <v>View Link</v>
      </c>
      <c r="L117" s="3">
        <f>HYPERLINK("https://www.google.com/maps/search/?api=1&amp;query=Fanshawe%20Wing&amp;query_place_id=ChIJWScnIFNxdEgR7Eq0HiJXxNo", "Open Map")</f>
        <v>0</v>
      </c>
    </row>
    <row r="118" spans="1:12" ht="20" customHeight="1">
      <c r="A118" s="2"/>
      <c r="B118" s="2"/>
      <c r="C118" s="2"/>
      <c r="D118" s="2"/>
      <c r="E118" s="3"/>
      <c r="F118" s="4"/>
      <c r="G118" s="5" t="s">
        <v>399</v>
      </c>
      <c r="H118" s="4">
        <v>1</v>
      </c>
      <c r="I118" s="2" t="s">
        <v>400</v>
      </c>
      <c r="J118" s="4" t="s">
        <v>401</v>
      </c>
      <c r="K118" s="3" t="str">
        <f>HYPERLINK("https://www.google.com/maps/reviews/data=!4m8!14m7!1m6!2m5!1sChZDSUhNMG9nS0VJQ0FnSUQydmFXX1N3EAE!2m1!1s0x0:0xdac457221eb44aec!3m1!1s2@1:CIHM0ogKEICAgID2vaW_Sw%7C%7C?hl=en", "View Link")</f>
        <v>View Link</v>
      </c>
      <c r="L118" s="3"/>
    </row>
    <row r="119" spans="1:12" ht="20" customHeight="1">
      <c r="A119" s="2"/>
      <c r="B119" s="2"/>
      <c r="C119" s="2"/>
      <c r="D119" s="2"/>
      <c r="E119" s="3"/>
      <c r="F119" s="4"/>
      <c r="G119" s="5" t="s">
        <v>402</v>
      </c>
      <c r="H119" s="4">
        <v>2</v>
      </c>
      <c r="I119" s="2" t="s">
        <v>403</v>
      </c>
      <c r="J119" s="4" t="s">
        <v>404</v>
      </c>
      <c r="K119" s="3" t="str">
        <f>HYPERLINK("https://www.google.com/maps/reviews/data=!4m8!14m7!1m6!2m5!1sChdDSUhNMG9nS0VJQ0FnSURNa2RtRXZBRRAB!2m1!1s0x0:0xdac457221eb44aec!3m1!1s2@1:CIHM0ogKEICAgIDMkdmEvAE%7C%7C?hl=en", "View Link")</f>
        <v>View Link</v>
      </c>
      <c r="L119" s="3"/>
    </row>
    <row r="120" spans="1:12" ht="20" customHeight="1">
      <c r="A120" s="2"/>
      <c r="B120" s="2"/>
      <c r="C120" s="2"/>
      <c r="D120" s="2"/>
      <c r="E120" s="3"/>
      <c r="F120" s="4"/>
      <c r="G120" s="5" t="s">
        <v>405</v>
      </c>
      <c r="H120" s="4">
        <v>3</v>
      </c>
      <c r="I120" s="2" t="s">
        <v>406</v>
      </c>
      <c r="J120" s="4" t="s">
        <v>407</v>
      </c>
      <c r="K120" s="3" t="str">
        <f>HYPERLINK("https://www.google.com/maps/reviews/data=!4m8!14m7!1m6!2m5!1sChdDSUhNMG9nS0VJQ0FnSUNraXNXUGdBRRAB!2m1!1s0x0:0xdac457221eb44aec!3m1!1s2@1:CIHM0ogKEICAgICkisWPgAE%7C%7C?hl=en", "View Link")</f>
        <v>View Link</v>
      </c>
      <c r="L120" s="3"/>
    </row>
    <row r="121" spans="1:12" ht="20" customHeight="1">
      <c r="A121" s="2"/>
      <c r="B121" s="2"/>
      <c r="C121" s="2"/>
      <c r="D121" s="2"/>
      <c r="E121" s="3"/>
      <c r="F121" s="4"/>
      <c r="G121" s="5" t="s">
        <v>408</v>
      </c>
      <c r="H121" s="4">
        <v>3</v>
      </c>
      <c r="I121" s="2" t="s">
        <v>409</v>
      </c>
      <c r="J121" s="4" t="s">
        <v>410</v>
      </c>
      <c r="K121" s="3" t="str">
        <f>HYPERLINK("https://www.google.com/maps/reviews/data=!4m8!14m7!1m6!2m5!1sChZDSUhNMG9nS0VJQ0FnSURzb1phTER3EAE!2m1!1s0x0:0xdac457221eb44aec!3m1!1s2@1:CIHM0ogKEICAgIDsoZaLDw%7C%7C?hl=en", "View Link")</f>
        <v>View Link</v>
      </c>
      <c r="L121" s="3"/>
    </row>
    <row r="122" spans="1:12" ht="20" customHeight="1">
      <c r="A122" s="2"/>
      <c r="B122" s="2"/>
      <c r="C122" s="2"/>
      <c r="D122" s="2"/>
      <c r="E122" s="3"/>
      <c r="F122" s="4"/>
      <c r="G122" s="5" t="s">
        <v>411</v>
      </c>
      <c r="H122" s="4">
        <v>3</v>
      </c>
      <c r="I122" s="2" t="s">
        <v>412</v>
      </c>
      <c r="J122" s="4" t="s">
        <v>413</v>
      </c>
      <c r="K122" s="3" t="str">
        <f>HYPERLINK("https://www.google.com/maps/reviews/data=!4m8!14m7!1m6!2m5!1sChdDSUhNMG9nS0VJQ0FnSURvd00yTjNRRRAB!2m1!1s0x0:0xdac457221eb44aec!3m1!1s2@1:CIHM0ogKEICAgIDowM2N3QE%7C%7C?hl=en", "View Link")</f>
        <v>View Link</v>
      </c>
      <c r="L122" s="3"/>
    </row>
    <row r="123" spans="1:12" ht="20" customHeight="1">
      <c r="A123" s="2"/>
      <c r="B123" s="2"/>
      <c r="C123" s="2"/>
      <c r="D123" s="2"/>
      <c r="E123" s="3"/>
      <c r="F123" s="4"/>
      <c r="G123" s="5" t="s">
        <v>414</v>
      </c>
      <c r="H123" s="4">
        <v>3</v>
      </c>
      <c r="I123" s="2" t="s">
        <v>415</v>
      </c>
      <c r="J123" s="4" t="s">
        <v>416</v>
      </c>
      <c r="K123" s="3" t="str">
        <f>HYPERLINK("https://www.google.com/maps/reviews/data=!4m8!14m7!1m6!2m5!1sChdDSUhNMG9nS0VJQ0FnSUN3MGZEajN3RRAB!2m1!1s0x0:0xdac457221eb44aec!3m1!1s2@1:CIHM0ogKEICAgICw0fDj3wE%7C%7C?hl=en", "View Link")</f>
        <v>View Link</v>
      </c>
      <c r="L123" s="3"/>
    </row>
    <row r="124" spans="1:12" ht="20" customHeight="1">
      <c r="A124" s="2"/>
      <c r="B124" s="2"/>
      <c r="C124" s="2"/>
      <c r="D124" s="2"/>
      <c r="E124" s="3"/>
      <c r="F124" s="4"/>
      <c r="G124" s="5" t="s">
        <v>417</v>
      </c>
      <c r="H124" s="4">
        <v>3</v>
      </c>
      <c r="I124" s="2"/>
      <c r="J124" s="4" t="s">
        <v>418</v>
      </c>
      <c r="K124" s="3" t="str">
        <f>HYPERLINK("https://www.google.com/maps/reviews/data=!4m8!14m7!1m6!2m5!1sCi9DQUlRQUNvZENodHljRjlvT2pCd2NtTlphM05WVGsxb1kwTjFPV0o2VEZGdVZsRRAB!2m1!1s0x0:0xdac457221eb44aec!3m1!1s2@1:CAIQACodChtycF9oOjBwcmNZa3NVTk1oY0N1OWJ6TFFuVlE%7C%7C?hl=en", "View Link")</f>
        <v>View Link</v>
      </c>
      <c r="L124" s="3"/>
    </row>
    <row r="125" spans="1:12" ht="20" customHeight="1">
      <c r="A125" s="2"/>
      <c r="B125" s="2"/>
      <c r="C125" s="2"/>
      <c r="D125" s="2"/>
      <c r="E125" s="3"/>
      <c r="F125" s="4"/>
      <c r="G125" s="5" t="s">
        <v>419</v>
      </c>
      <c r="H125" s="4">
        <v>3</v>
      </c>
      <c r="I125" s="2"/>
      <c r="J125" s="4" t="s">
        <v>420</v>
      </c>
      <c r="K125" s="3" t="str">
        <f>HYPERLINK("https://www.google.com/maps/reviews/data=!4m8!14m7!1m6!2m5!1sChdDSUhNMG9nS0VJQ0FnSUNzcjZIXzd3RRAB!2m1!1s0x0:0xdac457221eb44aec!3m1!1s2@1:CIHM0ogKEICAgICsr6H_7wE%7C%7C?hl=en", "View Link")</f>
        <v>View Link</v>
      </c>
      <c r="L125" s="3"/>
    </row>
    <row r="126" spans="1:12" ht="20" customHeight="1">
      <c r="A126" s="2"/>
      <c r="B126" s="2"/>
      <c r="C126" s="2"/>
      <c r="D126" s="2"/>
      <c r="E126" s="3"/>
      <c r="F126" s="4"/>
      <c r="G126" s="5" t="s">
        <v>421</v>
      </c>
      <c r="H126" s="4">
        <v>3</v>
      </c>
      <c r="I126" s="2"/>
      <c r="J126" s="4" t="s">
        <v>422</v>
      </c>
      <c r="K126" s="3" t="str">
        <f>HYPERLINK("https://www.google.com/maps/reviews/data=!4m8!14m7!1m6!2m5!1sChZDSUhNMG9nS0VJQ0FnSURNbGFHRWFREAE!2m1!1s0x0:0xdac457221eb44aec!3m1!1s2@1:CIHM0ogKEICAgIDMlaGEaQ%7C%7C?hl=en", "View Link")</f>
        <v>View Link</v>
      </c>
      <c r="L126" s="3"/>
    </row>
    <row r="127" spans="1:12" ht="20" customHeight="1">
      <c r="A127" s="2" t="s">
        <v>423</v>
      </c>
      <c r="B127" s="2" t="s">
        <v>424</v>
      </c>
      <c r="C127" s="2" t="s">
        <v>425</v>
      </c>
      <c r="D127" s="2" t="s">
        <v>426</v>
      </c>
      <c r="E127" s="3">
        <f>HYPERLINK("https://cathedraldermatology.com/", "Visit Website")</f>
        <v>0</v>
      </c>
      <c r="F127" s="4">
        <v>3.7</v>
      </c>
      <c r="G127" s="5" t="s">
        <v>427</v>
      </c>
      <c r="H127" s="4">
        <v>1</v>
      </c>
      <c r="I127" s="2" t="s">
        <v>428</v>
      </c>
      <c r="J127" s="4" t="s">
        <v>429</v>
      </c>
      <c r="K127" s="3" t="str">
        <f>HYPERLINK("https://www.google.com/maps/reviews/data=!4m8!14m7!1m6!2m5!1sCi9DQUlRQUNvZENodHljRjlvT21Oc1N6UklNbXBrWkRSR2IyRnFaMEpZV25kTFRWRRAB!2m1!1s0x0:0x74804f90e811f321!3m1!1s2@1:CAIQACodChtycF9oOmNsSzRIMmpkZDRGb2FqZ0JYWndLTVE%7C%7C?hl=en", "View Link")</f>
        <v>View Link</v>
      </c>
      <c r="L127" s="3">
        <f>HYPERLINK("https://www.google.com/maps/search/?api=1&amp;query=Cathedral%20Dermatology&amp;query_place_id=ChIJg1mGP3MJYUgRIfMR6JBPgHQ", "Open Map")</f>
        <v>0</v>
      </c>
    </row>
    <row r="128" spans="1:12" ht="20" customHeight="1">
      <c r="A128" s="2"/>
      <c r="B128" s="2"/>
      <c r="C128" s="2"/>
      <c r="D128" s="2"/>
      <c r="E128" s="3"/>
      <c r="F128" s="4"/>
      <c r="G128" s="5" t="s">
        <v>430</v>
      </c>
      <c r="H128" s="4">
        <v>1</v>
      </c>
      <c r="I128" s="2" t="s">
        <v>431</v>
      </c>
      <c r="J128" s="4" t="s">
        <v>432</v>
      </c>
      <c r="K128" s="3" t="str">
        <f>HYPERLINK("https://www.google.com/maps/reviews/data=!4m8!14m7!1m6!2m5!1sCi9DQUlRQUNvZENodHljRjlvT2xCeU1UZEJOVFZpZUVKb1ZGOUpiMjlNVGxsaU4yYxAB!2m1!1s0x0:0x74804f90e811f321!3m1!1s2@1:CAIQACodChtycF9oOlByMTdBNTVieEJoVF9Jb29MTlliN2c%7C%7C?hl=en", "View Link")</f>
        <v>View Link</v>
      </c>
      <c r="L128" s="3"/>
    </row>
    <row r="129" spans="1:12" ht="20" customHeight="1">
      <c r="A129" s="2" t="s">
        <v>433</v>
      </c>
      <c r="B129" s="2" t="s">
        <v>434</v>
      </c>
      <c r="C129" s="2" t="s">
        <v>435</v>
      </c>
      <c r="D129" s="2" t="s">
        <v>15</v>
      </c>
      <c r="E129" s="3">
        <f>HYPERLINK("http://www.orthodermclinic.com/", "Visit Website")</f>
        <v>0</v>
      </c>
      <c r="F129" s="4">
        <v>4.2</v>
      </c>
      <c r="G129" s="5" t="s">
        <v>436</v>
      </c>
      <c r="H129" s="4">
        <v>1</v>
      </c>
      <c r="I129" s="2" t="s">
        <v>437</v>
      </c>
      <c r="J129" s="4" t="s">
        <v>438</v>
      </c>
      <c r="K129" s="3" t="str">
        <f>HYPERLINK("https://www.google.com/maps/reviews/data=!4m8!14m7!1m6!2m5!1sCi9DQUlRQUNvZENodHljRjlvT2xZeWNrMXphaTAzZWxOYVRqZzJhRVJ2TWw5cFlsRRAB!2m1!1s0x0:0x9de57bdc1a64710c!3m1!1s2@1:CAIQACodChtycF9oOlYyck1zai03elNaTjg2aERvMl9pYlE%7C%7C?hl=en", "View Link")</f>
        <v>View Link</v>
      </c>
      <c r="L129" s="3">
        <f>HYPERLINK("https://www.google.com/maps/search/?api=1&amp;query=Orthoderm%20Private%20Medical%20Clinic&amp;query_place_id=ChIJ-3990FEDYUgRDHFkGtx75Z0", "Open Map")</f>
        <v>0</v>
      </c>
    </row>
    <row r="130" spans="1:12" ht="20" customHeight="1">
      <c r="A130" s="2"/>
      <c r="B130" s="2"/>
      <c r="C130" s="2"/>
      <c r="D130" s="2"/>
      <c r="E130" s="3"/>
      <c r="F130" s="4"/>
      <c r="G130" s="5" t="s">
        <v>439</v>
      </c>
      <c r="H130" s="4">
        <v>1</v>
      </c>
      <c r="I130" s="2" t="s">
        <v>440</v>
      </c>
      <c r="J130" s="4" t="s">
        <v>441</v>
      </c>
      <c r="K130" s="3" t="str">
        <f>HYPERLINK("https://www.google.com/maps/reviews/data=!4m8!14m7!1m6!2m5!1sCi9DQUlRQUNvZENodHljRjlvT21aQlNtcHhSRGhsTmtGS1pXTmlORGgyTURCRU1uYxAB!2m1!1s0x0:0x9de57bdc1a64710c!3m1!1s2@1:CAIQACodChtycF9oOmZBSmpxRDhlNkFKZWNiNDh2MDBEMnc%7C%7C?hl=en", "View Link")</f>
        <v>View Link</v>
      </c>
      <c r="L130" s="3"/>
    </row>
    <row r="131" spans="1:12" ht="20" customHeight="1">
      <c r="A131" s="2"/>
      <c r="B131" s="2"/>
      <c r="C131" s="2"/>
      <c r="D131" s="2"/>
      <c r="E131" s="3"/>
      <c r="F131" s="4"/>
      <c r="G131" s="5" t="s">
        <v>442</v>
      </c>
      <c r="H131" s="4">
        <v>1</v>
      </c>
      <c r="I131" s="2" t="s">
        <v>443</v>
      </c>
      <c r="J131" s="4" t="s">
        <v>444</v>
      </c>
      <c r="K131" s="3" t="str">
        <f>HYPERLINK("https://www.google.com/maps/reviews/data=!4m8!14m7!1m6!2m5!1sChZDSUhNMG9nS0VJQ0FnSUNMOGYza0t3EAE!2m1!1s0x0:0x9de57bdc1a64710c!3m1!1s2@1:CIHM0ogKEICAgICL8f3kKw%7C%7C?hl=en", "View Link")</f>
        <v>View Link</v>
      </c>
      <c r="L131" s="3"/>
    </row>
    <row r="132" spans="1:12" ht="20" customHeight="1">
      <c r="A132" s="2"/>
      <c r="B132" s="2"/>
      <c r="C132" s="2"/>
      <c r="D132" s="2"/>
      <c r="E132" s="3"/>
      <c r="F132" s="4"/>
      <c r="G132" s="5" t="s">
        <v>445</v>
      </c>
      <c r="H132" s="4">
        <v>1</v>
      </c>
      <c r="I132" s="2" t="s">
        <v>446</v>
      </c>
      <c r="J132" s="4" t="s">
        <v>447</v>
      </c>
      <c r="K132" s="3" t="str">
        <f>HYPERLINK("https://www.google.com/maps/reviews/data=!4m8!14m7!1m6!2m5!1sChZDSUhNMG9nS0VJQ0FnSUNaMjlMMmFnEAE!2m1!1s0x0:0x9de57bdc1a64710c!3m1!1s2@1:CIHM0ogKEICAgICZ29L2ag%7C%7C?hl=en", "View Link")</f>
        <v>View Link</v>
      </c>
      <c r="L132" s="3"/>
    </row>
    <row r="133" spans="1:12" ht="20" customHeight="1">
      <c r="A133" s="2"/>
      <c r="B133" s="2"/>
      <c r="C133" s="2"/>
      <c r="D133" s="2"/>
      <c r="E133" s="3"/>
      <c r="F133" s="4"/>
      <c r="G133" s="5" t="s">
        <v>448</v>
      </c>
      <c r="H133" s="4">
        <v>1</v>
      </c>
      <c r="I133" s="2" t="s">
        <v>449</v>
      </c>
      <c r="J133" s="4" t="s">
        <v>450</v>
      </c>
      <c r="K133" s="3" t="str">
        <f>HYPERLINK("https://www.google.com/maps/reviews/data=!4m8!14m7!1m6!2m5!1sChdDSUhNMG9nS0VJQ0FnSUR6NGZURTRRRRAB!2m1!1s0x0:0x9de57bdc1a64710c!3m1!1s2@1:CIHM0ogKEICAgIDz4fTE4QE%7C%7C?hl=en", "View Link")</f>
        <v>View Link</v>
      </c>
      <c r="L133" s="3"/>
    </row>
    <row r="134" spans="1:12" ht="20" customHeight="1">
      <c r="A134" s="2"/>
      <c r="B134" s="2"/>
      <c r="C134" s="2"/>
      <c r="D134" s="2"/>
      <c r="E134" s="3"/>
      <c r="F134" s="4"/>
      <c r="G134" s="5" t="s">
        <v>451</v>
      </c>
      <c r="H134" s="4">
        <v>1</v>
      </c>
      <c r="I134" s="2" t="s">
        <v>452</v>
      </c>
      <c r="J134" s="4" t="s">
        <v>453</v>
      </c>
      <c r="K134" s="3" t="str">
        <f>HYPERLINK("https://www.google.com/maps/reviews/data=!4m8!14m7!1m6!2m5!1sChZDSUhNMG9nS0VJQ0FnSUNJM055YWF3EAE!2m1!1s0x0:0x9de57bdc1a64710c!3m1!1s2@1:CIHM0ogKEICAgICI3Nyaaw%7C%7C?hl=en", "View Link")</f>
        <v>View Link</v>
      </c>
      <c r="L134" s="3"/>
    </row>
    <row r="135" spans="1:12" ht="20" customHeight="1">
      <c r="A135" s="2"/>
      <c r="B135" s="2"/>
      <c r="C135" s="2"/>
      <c r="D135" s="2"/>
      <c r="E135" s="3"/>
      <c r="F135" s="4"/>
      <c r="G135" s="5" t="s">
        <v>454</v>
      </c>
      <c r="H135" s="4">
        <v>1</v>
      </c>
      <c r="I135" s="2"/>
      <c r="J135" s="4" t="s">
        <v>455</v>
      </c>
      <c r="K135" s="3" t="str">
        <f>HYPERLINK("https://www.google.com/maps/reviews/data=!4m8!14m7!1m6!2m5!1sCi9DQUlRQUNvZENodHljRjlvT21jelRYWm9XR3RFUTJkQmEzUmxkMDFIUmpZeU5tYxAB!2m1!1s0x0:0x9de57bdc1a64710c!3m1!1s2@1:CAIQACodChtycF9oOmczTXZoWGtEQ2dBa3Rld01HRjYyNmc%7C%7C?hl=en", "View Link")</f>
        <v>View Link</v>
      </c>
      <c r="L135" s="3"/>
    </row>
    <row r="136" spans="1:12" ht="20" customHeight="1">
      <c r="A136" s="2"/>
      <c r="B136" s="2"/>
      <c r="C136" s="2"/>
      <c r="D136" s="2"/>
      <c r="E136" s="3"/>
      <c r="F136" s="4"/>
      <c r="G136" s="5" t="s">
        <v>456</v>
      </c>
      <c r="H136" s="4">
        <v>1</v>
      </c>
      <c r="I136" s="2"/>
      <c r="J136" s="4" t="s">
        <v>457</v>
      </c>
      <c r="K136" s="3" t="str">
        <f>HYPERLINK("https://www.google.com/maps/reviews/data=!4m8!14m7!1m6!2m5!1sChdDSUhNMG9nS0VJQ0FnSUNSd01EMnN3RRAB!2m1!1s0x0:0x9de57bdc1a64710c!3m1!1s2@1:CIHM0ogKEICAgICRwMD2swE%7C%7C?hl=en", "View Link")</f>
        <v>View Link</v>
      </c>
      <c r="L136" s="3"/>
    </row>
    <row r="137" spans="1:12" ht="20" customHeight="1">
      <c r="A137" s="2"/>
      <c r="B137" s="2"/>
      <c r="C137" s="2"/>
      <c r="D137" s="2"/>
      <c r="E137" s="3"/>
      <c r="F137" s="4"/>
      <c r="G137" s="5" t="s">
        <v>458</v>
      </c>
      <c r="H137" s="4">
        <v>1</v>
      </c>
      <c r="I137" s="2"/>
      <c r="J137" s="4" t="s">
        <v>459</v>
      </c>
      <c r="K137" s="3" t="str">
        <f>HYPERLINK("https://www.google.com/maps/reviews/data=!4m8!14m7!1m6!2m5!1sChdDSUhNMG9nS0VJQ0FnSUNLaWNhXzV3RRAB!2m1!1s0x0:0x9de57bdc1a64710c!3m1!1s2@1:CIHM0ogKEICAgICKica_5wE%7C%7C?hl=en", "View Link")</f>
        <v>View Link</v>
      </c>
      <c r="L137" s="3"/>
    </row>
    <row r="138" spans="1:12" ht="20" customHeight="1">
      <c r="A138" s="2"/>
      <c r="B138" s="2"/>
      <c r="C138" s="2"/>
      <c r="D138" s="2"/>
      <c r="E138" s="3"/>
      <c r="F138" s="4"/>
      <c r="G138" s="5" t="s">
        <v>460</v>
      </c>
      <c r="H138" s="4">
        <v>2</v>
      </c>
      <c r="I138" s="2" t="s">
        <v>461</v>
      </c>
      <c r="J138" s="4" t="s">
        <v>462</v>
      </c>
      <c r="K138" s="3" t="str">
        <f>HYPERLINK("https://www.google.com/maps/reviews/data=!4m8!14m7!1m6!2m5!1sCi9DQUlRQUNvZENodHljRjlvT2twd1YydFpjRFpsZUhKQmVrazRMVkZ2UzBOeVNsRRAB!2m1!1s0x0:0x9de57bdc1a64710c!3m1!1s2@1:CAIQACodChtycF9oOkpwV2tZcDZleHJBekk4LVFvS0NySlE%7C%7C?hl=en", "View Link")</f>
        <v>View Link</v>
      </c>
      <c r="L138" s="3"/>
    </row>
  </sheetData>
  <mergeCells count="112">
    <mergeCell ref="A2:A11"/>
    <mergeCell ref="B2:B11"/>
    <mergeCell ref="C2:C11"/>
    <mergeCell ref="D2:D11"/>
    <mergeCell ref="E2:E11"/>
    <mergeCell ref="F2:F11"/>
    <mergeCell ref="L2:L11"/>
    <mergeCell ref="A12:A21"/>
    <mergeCell ref="B12:B21"/>
    <mergeCell ref="C12:C21"/>
    <mergeCell ref="D12:D21"/>
    <mergeCell ref="E12:E21"/>
    <mergeCell ref="F12:F21"/>
    <mergeCell ref="L12:L21"/>
    <mergeCell ref="A22:A31"/>
    <mergeCell ref="B22:B31"/>
    <mergeCell ref="C22:C31"/>
    <mergeCell ref="D22:D31"/>
    <mergeCell ref="E22:E31"/>
    <mergeCell ref="F22:F31"/>
    <mergeCell ref="L22:L31"/>
    <mergeCell ref="A33:A42"/>
    <mergeCell ref="B33:B42"/>
    <mergeCell ref="C33:C42"/>
    <mergeCell ref="D33:D42"/>
    <mergeCell ref="E33:E42"/>
    <mergeCell ref="F33:F42"/>
    <mergeCell ref="L33:L42"/>
    <mergeCell ref="A43:A52"/>
    <mergeCell ref="B43:B52"/>
    <mergeCell ref="C43:C52"/>
    <mergeCell ref="D43:D52"/>
    <mergeCell ref="E43:E52"/>
    <mergeCell ref="F43:F52"/>
    <mergeCell ref="L43:L52"/>
    <mergeCell ref="A53:A62"/>
    <mergeCell ref="B53:B62"/>
    <mergeCell ref="C53:C62"/>
    <mergeCell ref="D53:D62"/>
    <mergeCell ref="E53:E62"/>
    <mergeCell ref="F53:F62"/>
    <mergeCell ref="L53:L62"/>
    <mergeCell ref="A63:A72"/>
    <mergeCell ref="B63:B72"/>
    <mergeCell ref="C63:C72"/>
    <mergeCell ref="D63:D72"/>
    <mergeCell ref="E63:E72"/>
    <mergeCell ref="F63:F72"/>
    <mergeCell ref="L63:L72"/>
    <mergeCell ref="A73:A82"/>
    <mergeCell ref="B73:B82"/>
    <mergeCell ref="C73:C82"/>
    <mergeCell ref="D73:D82"/>
    <mergeCell ref="E73:E82"/>
    <mergeCell ref="F73:F82"/>
    <mergeCell ref="L73:L82"/>
    <mergeCell ref="A83:A92"/>
    <mergeCell ref="B83:B92"/>
    <mergeCell ref="C83:C92"/>
    <mergeCell ref="D83:D92"/>
    <mergeCell ref="E83:E92"/>
    <mergeCell ref="F83:F92"/>
    <mergeCell ref="L83:L92"/>
    <mergeCell ref="A93:A94"/>
    <mergeCell ref="B93:B94"/>
    <mergeCell ref="C93:C94"/>
    <mergeCell ref="D93:D94"/>
    <mergeCell ref="E93:E94"/>
    <mergeCell ref="F93:F94"/>
    <mergeCell ref="L93:L94"/>
    <mergeCell ref="A95:A104"/>
    <mergeCell ref="B95:B104"/>
    <mergeCell ref="C95:C104"/>
    <mergeCell ref="D95:D104"/>
    <mergeCell ref="E95:E104"/>
    <mergeCell ref="F95:F104"/>
    <mergeCell ref="L95:L104"/>
    <mergeCell ref="A105:A114"/>
    <mergeCell ref="B105:B114"/>
    <mergeCell ref="C105:C114"/>
    <mergeCell ref="D105:D114"/>
    <mergeCell ref="E105:E114"/>
    <mergeCell ref="F105:F114"/>
    <mergeCell ref="L105:L114"/>
    <mergeCell ref="A115:A116"/>
    <mergeCell ref="B115:B116"/>
    <mergeCell ref="C115:C116"/>
    <mergeCell ref="D115:D116"/>
    <mergeCell ref="E115:E116"/>
    <mergeCell ref="F115:F116"/>
    <mergeCell ref="L115:L116"/>
    <mergeCell ref="A117:A126"/>
    <mergeCell ref="B117:B126"/>
    <mergeCell ref="C117:C126"/>
    <mergeCell ref="D117:D126"/>
    <mergeCell ref="E117:E126"/>
    <mergeCell ref="F117:F126"/>
    <mergeCell ref="L117:L126"/>
    <mergeCell ref="A127:A128"/>
    <mergeCell ref="B127:B128"/>
    <mergeCell ref="C127:C128"/>
    <mergeCell ref="D127:D128"/>
    <mergeCell ref="E127:E128"/>
    <mergeCell ref="F127:F128"/>
    <mergeCell ref="L127:L128"/>
    <mergeCell ref="A129:A138"/>
    <mergeCell ref="B129:B138"/>
    <mergeCell ref="C129:C138"/>
    <mergeCell ref="D129:D138"/>
    <mergeCell ref="E129:E138"/>
    <mergeCell ref="F129:F138"/>
    <mergeCell ref="L129:L1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2026-08-12T11:21:56Z</dcterms:created>
  <dcterms:modified xsi:type="dcterms:W3CDTF">2026-08-12T11:21:56Z</dcterms:modified>
</cp:coreProperties>
</file>