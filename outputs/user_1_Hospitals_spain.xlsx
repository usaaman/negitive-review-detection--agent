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<sst xmlns="http://schemas.openxmlformats.org/spreadsheetml/2006/main" count="171" uniqueCount="79">
  <si>
    <t>Business Name</t>
  </si>
  <si>
    <t>Address</t>
  </si>
  <si>
    <t>Phone</t>
  </si>
  <si>
    <t>Email</t>
  </si>
  <si>
    <t>Website</t>
  </si>
  <si>
    <t>Business Rating</t>
  </si>
  <si>
    <t>Reviewer Name</t>
  </si>
  <si>
    <t>Review Stars</t>
  </si>
  <si>
    <t>Review Text</t>
  </si>
  <si>
    <t>Review Date</t>
  </si>
  <si>
    <t>Review Link</t>
  </si>
  <si>
    <t>Business Maps Link</t>
  </si>
  <si>
    <t>Hospital Veterinario de Referencia Veterios</t>
  </si>
  <si>
    <t>C. de Arrastaria, 23, San Blas-Canillejas, 28022 Madrid, Spain</t>
  </si>
  <si>
    <t>+34 912 90 94 58</t>
  </si>
  <si>
    <t>N/A</t>
  </si>
  <si>
    <t>Rafa Alejos</t>
  </si>
  <si>
    <t>Fuimos ayer de urgencias con mi perrito pensando que tenía una espiga metida en la nariz. Lo primero el chico de recepción sin dar ni las buenas noches nos dice que la consulta son 140 euros. Primero buenas noches y luego ya hablamos de cuánto dinero quieres sacarnos… Bueno pues no queda otra que aceptar, sale la veterinaria y otra igual… nos dice hay que sedarlo hacerle analíticas etc…….. otra sacadora de dinero. Bueno antes de ir hablé con mi veterinario de confianza todo esto a las 4 de la madrugada y ya nos avisó que la analítica estaba echa del día anterior que todo estaba ok, que le miraran y sacaran la espiga en caso de que la tenga y ya está. Bueno pues le decimos que no haga analítica y que le observe solo. Nos da el consentimiento y ella haciendo incapie en claro como os negáis a la analítica hay un riesgo enorme de insuficiencia renal. Mira sé perfectamente que quieres hacerle mil cosas para sacarnos el dinero pero si yo he hablado con un profesional al antes se lo que hago. En resumen nos dice que tardarán dos horas que nos vayamos a casa o al coche a dormir. Perdona? Y tú dando vueltas comprando café en la máquina de la entrada sin decir ni buenas noches ni un simple hola ? . En resumen que le sedan le pusieron una vía a mi pobre animal que tenía la patita llena de sangre que tengo fotos . Nos cobran una burrada y nos dice que no tenía nada en la nariz pero nos cobra la extracción de cuerpo extraño 75 euros más. Impresentables.</t>
  </si>
  <si>
    <t>2026-05-03T01:14:27.866Z</t>
  </si>
  <si>
    <t>Karlennis Vera</t>
  </si>
  <si>
    <t>Lo que le hicieron a nuestro perro FUE INHUMANO. Este lugar debería ESTAR CLAUSURADO. Mi perro entró el día miércoles 29/05/26 no podía orinar y muy una especie de emergencia, lo hospitalizaron y nos dieron un diagnóstico que a día de hoy (por todo lo sucedido) pongo en duda. Para empezar la información o “el parte médico” era escueto, era solo “esperar” y en las visitas de 20 minutos solo nos encontrábamos con un perro sediento y hambriento. Sin decir lo morada que tenía sus patitas. Decían que no comía pero conmigo se comía TODO y tomaba agua como desesperado. A los dos días preguntó insistente por su analítica y me dicen que aún no la tenían ¿entonces basado en qué le estaban “pasando tratamiento”? Pero lo peor sucedió luego: fui a buscarlo para llevármelo y me dijeron que con sonda no me lo entregaban, ya el día anterior había advertido que me lo llevaba. El día que me lo iba a llevar me llaman a las 11 a decirme que “en la madrugada él mismo se quitó la sonda” aún con el protector que le tenía en la cabeza. El perro tenía una obstrucción y desde la madrugada sin sonda. Cuando llegó mi perro no orinaba nada (imagínate las horas que tenía sin hacerlo). Nosotros asustados decidimos dejarlo un día más solo para que pusieran sonda ya que era feriado y nadie nos atendía. Nos fuimos a las 2pm de la visita y a las 6 nos llaman para decirnos “que habían intentado varias veces” sondear y “no pudieron”, es decir MI PERRO SEGUÍA SIN ORINAR. Me fui inmediatamente a buscarlo y allá no paraban de pedirnos “perdón” (ya imaginarás el daño que el remordimiento no los dejaba) y que lo dejáramos que “ahora sí iba a tener atención priorizada”. Por otro lado la impresentable de la recepcionista haciendo malas caras y obligándonos a firmar algo donde supuestamente “estábamos al tanto de todo lo que le hicieron” COSA QUE FUE MENTIRA. Lo dejamos expresamente en el papel que quería que firmáramos, y en el que, en un primer intento, nos puso un monto que no correspondía con el dineral que nos sacaron. NO DEJEN A SUS PERROS EN MANOS DE ESTOS IRRESPONSABLES.</t>
  </si>
  <si>
    <t>2026-05-03T08:56:03.706Z</t>
  </si>
  <si>
    <t>J Camilo Quintero Sanchez</t>
  </si>
  <si>
    <t>Ayer fui con mi Teckel por qué no podía abrir los ojos. Después de 3h y solo le echaron un colirio me dijeron que no tenía úlceras y que no los abría pero que ya los abriría. Hoy voy por la mañana al veterinario porque seguía sin abrirlos y le echo la floresceína como se puede ver en el informe (es un líquido que hace que las úlceras se vean amarillas ) pues como podéis ver tiene los dos ojos amarillos enteros. La veterinaria y los oftalmólogos de la clínica puchol donde estoy ahora mismo me han dicho que estas úlceras si las tiene hoy así ayer por la noche las tenía si o si.
140€ por “atenderla” ya que otra cosa no le hicieron.</t>
  </si>
  <si>
    <t>2026-04-27T12:54:33.758Z</t>
  </si>
  <si>
    <t>Rocio Aguilar Fraile</t>
  </si>
  <si>
    <t>Hace un año mi perro un springer spaniel inglés se puso muy malito con insuficiencia renal, llegué a pensar que me abandonaría para siempre, y así hubiera sido si dependiera de sus antiguos veterinarios (Mascoteros), que a pesar de que conté los síntomas que tenía (bebía mucha agua y hacía mucho pis) lo relacionaron con el cambio de dieta cosa que nunca antes le había pasado con cos cambios de comida ni a mis anteriores perros y además después me enteré que es mentira y se empeñaron en vacunarlo sin hacer pruebas antes y empeorando sus síntomas. Por este motivo estuvo ingresado 15 días con 2 años de edad, la primera semana solo empeoró cada día por no poner el tratamiento adecuado empeñados en que su enfermedad fue provocada por una infección por leishmania o leptospira a pesar de dar negativo tanto en test rápido como en laboratorio, llegando al punto de decirme que había que hacerle diálisis y que tardarían 1 semana en podérsela hacer en el único hospital en el que se hace en Madrid y me dan la opción de hacerle ellos diálisis peritoneal sorprendentemente cuando les dije que se la hicieran cuanto antes y que me lo quería llevar a casa empezó a ir mejorando al aumentarle la cantidad de suero que le administraban para quedárselo 1 semana más. A pesar de ser un perro de 2 años y de raza activa y enérgica le hicieron un eco cardio sin comentármelo antes, por decir que su corazón estaba lento, sin darme la cifra. No sé qué alimentación le dieron pero ingresó pesando 23,5kg estando bien de peso y al alta pesaba 19kg, y con muchísima hambre. Cuando le dieron el alta el único tratamiento que querían que le diera era el mismo antibiótico que le habían estado poniendo indefinidamente. Al día siguiente al llevarlo a revisión en su veterinario como me dijeron lo querían reingresar y al negarme cambiaron las formas por parte de los trabajadores. Por suerte no hice lo que estos me dijeron, busque otra clínica donde si supieron ponerle tratamiento y hacerle las pruebas necesarias sin necesidad de ingresarlo y que es más que rezar como Mascoteros me dijo cuando me negué a reingresarlo. A día de hoy mi perro no tiene ningún problema con su corazón, está vivo, fuerte, controlado y feliz. Entre el hospital Veterios y la clínica Mascoteros hubieran matado a mi perro si les hubiera hecho caso y no hubiera buscado segunda opinión. Por favor fórmense correctamente y no jueguen con la salud de los animales. No los recomiendo a ninguno de los dos, mi perro no volverá a ir nunca.
Primera foto ingresado en Veterios, segunda foto día del alta, tercera foto actual</t>
  </si>
  <si>
    <t>2025-10-04T13:13:54.064Z</t>
  </si>
  <si>
    <t>Vanesa Pérez</t>
  </si>
  <si>
    <t>No se lo recomiendo a nadie. En resumen, 1000€ gastados en un centro donde pese a tener muchos profesionales todo se rigen por lo mismo (sacar dinero en pruebas, obtener diagnósticos a toda costa (incluso del animal al que están estudiando), y con poco o ningún rasgo de humanidad en sus actos, pues nuestra gatita tras estar una sola noche allí, ha vuelto peor, que tras un día recibiendo únicamente cariño, suero y algo de alimento en boca). Ojalá esos "profesionales" fueran menos robots y más "humanos". Os cuento el caso, gatita de año y medio, con evolución muy desfavorable desde hace unos días, ya que su veterinario de confianza ya nos había dado la medicación que por los signos y síntomas que presentaba más podían ayudarla. Tras día entero ingresada con suero para volver a estar hidratada y alimentación forzada por boca (ya que no quería comer nada) fuimos a este centro para poder hacer aquellas pruebas que desde nuestro centro no podían. Nada más llegar tuvimos la sensación de estar hablando con máquinas sin empatía humana y que se habían fijado un objetivo (obtener un diagnóstico a toda costa). A partir de ese momento nuestra gatita para ellos paso a ser nada más que un objeto con el que juguetear con su maravillosa maquinaria y pruebas, dejando a un lado que en realidad es un miembro de nuestra familia. Insistieron en hacerle pruebas que poco iban a ayudar al pronóstico de la enfermedad de mi gatita, pues con el cuadro que presentaba era muy reservado y no sabían cuánto podía durar. No teniendo sangre en su banco de sangre (siendo como se llama un hospital de referencia) y siendo esto lo único que podía darle algo de tiempo a nuestra gatita ahora positiva en leucemia felina. Nos dicen de traer un donante que pensemos compatible. Pese a decirles que todos nuestros gatos son convivientes, sin acceso al exterior, insisten en traer al hermano (recogidos de la calle a la vez y muy probablemente hermanos de sangre ya que tenían la misma edad cuando los cogimos). Pese a ya conocer la enfermedad de la gatita y siendo la única manera de ayudarla. Decidimos llevar al hermano para intentar esa transfusión de sangre que tanto podía ayudar a nuestra gatita, pese al miedo de poder generar, tras ese proceso de estrés la enfermedad (algo que los veterinarios de esta clínica pareció importarles lo mismo que el papel del WC). Sorpresa para nadie cuando nos dijeron que esa transfusión no sé podía hacer, ya que nuestro otro gatito también es positivo y no es apto (llegaron a insistirnos mucho en llevar al resto de nuestros gatos para hacerles lo mismo (al módico precio de 400€ por análisis de gatito que llevábamos). Momento en el que decidimos parar. Nuestra gatita estaba muy enferma de algo hasta la fecha intratable. Lo único que queríamos para ella es acompañarla el tiempo que le quedase, como algo que hubiésemos querido para nosotros mismos, no tenerla ingresada, aislada de nosotros y triste, haciéndole pruebas sin parar, pinchando la por todas partes con el único objetivo de conseguir el famoso diagnóstico que tanto ansiaban desde allí. Llegando a hablarnos de no muy buenas formas ante nuestro rechazo a su objetivo, olvidando realizar pruebas (para ellos cruciales) y que nosotros ya habíamos pedido y pagado y dándose cuenta de ello al momento del alta. Y jugando con la esperanza y el cariño de unos dueños que darían todo lo que tienen por salvar a un miembro de su familia que ven que se va apagando poco a poco. Y llegando a negar algo que era más que evidente, nuestra gatita tenía leucemia, algo intratable y dándonos unas esperanzas de hasta un 60% en el caso hipotético y anecdótico de esa prueba hubiera salido mal y se tratase de otra cosa para así conseguir poder hacer más pruebas y más dinero. Deberia ser hasta denunciable todo esto.</t>
  </si>
  <si>
    <t>2025-10-24T11:11:51.669Z</t>
  </si>
  <si>
    <t>Jose Omar Londoño G</t>
  </si>
  <si>
    <t>Una verguenza ayer llevamos la perrita por que ml abria los ojos y nos la mandaron a casa tras 3 hiraz con un ántibiotico diciendo que sera conjuntivitis. Hoy la hemos llevado a su veterinario el cual en 2 minutos le ha visto las ulceras enormes que tiene con un procedimineto que supuestamente le hicierom ayer y tuve que ir a urgencias oftanmologicas. Donde en 2 minutos con el mismo procedimiento se las vieron. AYER 3 H  Y UN MAL DIAGNOSTICO :140€. Tened cuidado sobretodo con las urgencias porque el tiempo  puede ser crucial.</t>
  </si>
  <si>
    <t>2026-04-27T13:12:37.835Z</t>
  </si>
  <si>
    <t>Marta Garrido</t>
  </si>
  <si>
    <t>NO volveremos. Acudimos de urgencia un sábado porque nuestro perro no podía caminar ni sostenerse en pie por problemas neuropáticos. Tras esperar 3 horas en la sala (literalmente), simplemente le dieron antiinflamatorio, que no es lo adecuado para su patología, y no nos ofrecieron tampoco ningún tipo de diagnóstico. No tenían ni idea. Para más sorpresa y decepción: solo la consulta son 140€… Fuimos, sin duda, timados.</t>
  </si>
  <si>
    <t>2026-07-09T13:41:46.424Z</t>
  </si>
  <si>
    <t>Klaudia Munilla</t>
  </si>
  <si>
    <t>Mi experiencia ha sido profundamente decepcionante y angustiante.
Llevé a mi gato de 10 años porque, tras una ecografía bajo sedación realizada por otra veterinaria, la sedación NO se le estaba eliminando después de más de 24 horas y estaba extremadamente débil y desorientado. Ese mismo día recibimos además los resultados analíticos que confirmaban un problema renal grave, por lo que acudí al hospital tanto por la situación renal como por la preocupación evidente de que no estaba recuperándose de la sedación.
Quiero dejar claro que antes de esa primera sedación para la eco mi gato estaba bien dentro de su situación: comía, bebía, saltaba, pedía agua, ronroneaba y hacía vida normal. El cambio radical ocurrió a partir de las sedaciones.
Desde el primer momento informé de que seguía muy afectado por la sedación y extremadamente débil. Aun así, durante la hospitalización fue sedado repetidamente para poder manipularlo o realizar procedimientos básicos, sin que se valorara adecuadamente el impacto que esto podía tener en un paciente renal frágil.
Dejé a mi gato ingresado el viernes por la tarde y cuando acudí a la visita del sábado observé que comía con una ansiedad extrema. Fue en ese momento cuando pregunté directamente qué estaba pasando y entonces se me informó de que no había comido desde el ingreso. Su respuesta fue que “no quería comer” y que los pacientes renales  y tras la sedación suelen tener poco apetito o náuseas, pero su reacción evidenciaba claramente hambre.
Durante todo el proceso la información fue nula. No se nos explicó un diagnóstico claro ni un plan realista de evolución y se nos llegó a decir que un gato en su estado no podía tener calidad de vida, algo que contradice completamente cómo estaba antes de las sedaciones.
Tras 36 horas de hospitalización y fluidoterapia, los valores renales no mejoraron mientras su estado general empeoraba visiblemente tras las sucesivas sedaciones, presentando extrema delgadez, desorientación y debilidad.
Además, al alta únicamente se pautó medicación para el dolor, pese a que en el propio informe clínico consta que el dolor no podía valorarse debido a que el animal estaba sedado. No se prescribió inicialmente medicación para las náuseas ni apoyo para estimular la alimentación, algo especialmente preocupante en un paciente renal en su estado. La medicación para las náuseas tuvo que solicitarse posteriormente a nuestra veterinaria ya que no tuve respuesta de ellos hasta el día siguiente.
La sensación  fue de falta de escucha hacia nuestras preocupaciones y de priorizar protocolos ineccesarios antes que el bienestar individual del animal.
Finalmente solicitamos el alta voluntaria porque consideramos que la hospitalización estaba perjudicando más que ayudando y así fue. No sé cuanto me va a durar ya que sigue fatal y aún tiene síntomas de la sedación . Un gato que era super activo, comía perfectamente y tenía una calidad de vida muy buena.</t>
  </si>
  <si>
    <t>2026-03-17T16:12:25.718Z</t>
  </si>
  <si>
    <t>Javier Peñas</t>
  </si>
  <si>
    <t>Acudimos de urgencia con nuestra perrita el domingo ya que se había arrancado los puntos de una cirugía dos días antes, tenía la herida muy abierta y según ellos había q dejar q se cerrara sola, que le iban a hacer una analítica y anestesia general para hacerla una simple cura, cuando les decimos que tenemos una completa de hace 4 días del preoperatorio dicen que bueno, que entonces hacen una básica, no entiendo para que cuando ya tienen una (aunque me lo imagino), presupuestandonos para eso casi 400 euros, sedarla completamente para una cura!!! No les importa la salud del animal, solo cobrarte todo lo que puedan repitiendo pruebas. La pusieron un apósito que malamente cubría la herida que tenía y que apenas la llego al coche ya que en la misma consulta ya estaba mojada por todos los sitios. Cobrando por todo esto 174 euros. Lo de menos es el dinero, entiendo que es una urgencia y un domingo, es la manera que tienen de plantear las cosas, lo dicho, no les importa lo mejor para el animal solo lo mejor para su contabilidad. Una vergüenza absoluta</t>
  </si>
  <si>
    <t>2026-03-16T14:19:55.904Z</t>
  </si>
  <si>
    <t>SOFÍA QUINTERO CALVO</t>
  </si>
  <si>
    <t>Ayer llevamos nuestra perrita y le “hicieron”una serie de procedimientos los cuales no le sirvieron de nada por lo cual hoy la volvimos a llevar a otras urgencias donde en 3 minutos vieron lo que tenía con un procedimiento que se suponía que le habían hecho ayer.
Lo que más me molesta es perder el tiempo crucial aparte de los 140€ por una mala praxis.
Tengo la pobre perra con unas úlceras increíbles.</t>
  </si>
  <si>
    <t>2026-04-27T13:20:51.091Z</t>
  </si>
  <si>
    <t>El Morche Health Centre</t>
  </si>
  <si>
    <t>C. Santiago, 10, 29793 El Morche, Málaga, Spain</t>
  </si>
  <si>
    <t>+34 951 28 95 37</t>
  </si>
  <si>
    <t>Irina Goleanu</t>
  </si>
  <si>
    <t>They need to dismiss the front desk staff, very rude at least the black haired lady Manuela-unhelpful, only to put more obstacles in your way, every-time requesting different documents so they don’t actually register you with a gp, im in Spain for 3 months working and living here and still struggling to have a gp..
Worst medical service ever I don’t recommend</t>
  </si>
  <si>
    <t>2023-05-25T08:01:40.690Z</t>
  </si>
  <si>
    <t>Clau Mendieta</t>
  </si>
  <si>
    <t>Me cambie de médico  pensando que iba a ser mejor, y a sido peor el remedio que la enfermedad, la señora "doctora" paula, le falta muchísima empatia, le da pereza atender a sus oraciones, sobre todo la o el no de su agrado...
Telefónicamente, todo por telefono, y di no manda a llamar a la recepcionista para decir que no vengan, me parece muy fuerte ...les falta humanidad,  si no es que está  en huelga, es que tiene muchos "pacientes" y todo por telefono,  parece que estuviese valorando infectados....
Con unos dura media hora y con otros cinco minutos...
Y ni se diga de los de atención ciudadana, sobre todo la mujer es increíble la mala cara que mantiene y como atiende, es mejor un limón que está señora...
Definitivamente la empatia y la simpatía se perdio...
Por que no colocan el centro como privado mejor?
Asi sonreirian mas y trabajarían muchisimo menos de lo que trabajan.</t>
  </si>
  <si>
    <t>2026-06-30T16:45:49.906Z</t>
  </si>
  <si>
    <t>Hugo Verheyen</t>
  </si>
  <si>
    <t>Ik ben geschokeerd omdat ik hulp ging vragen voor een persoon die zelfmoord wilde plegen en men alle hulp weigerde, enkele dagen later was ze dood ?????
Lo considero escandaloso. Tenía cita con la trabajadora social a las 10:20, y que dejen pasar primero a los españoles con cita a las 10:30 y luego tener que esperar hasta las 11:30 me parece excesivo. Que se metan los servicios sociales por donde les quepa; en Bélgica, a eso lo llamamos racismo.</t>
  </si>
  <si>
    <t>2026-04-28T10:28:13.728Z</t>
  </si>
  <si>
    <t>SAJ</t>
  </si>
  <si>
    <t>El servicio q ofrecen en recepción es pésimo, son puestos cara al público, supuestamente al servicio de los ciudadanos; deberían tener personal con un mínimo de empatía,  ganas de ayudar a las personas y de trabajar.</t>
  </si>
  <si>
    <t>2026-05-27T22:13:21.943Z</t>
  </si>
  <si>
    <t>lars brink</t>
  </si>
  <si>
    <t>Está muy claro que la mujer sentada en recepción (se llama Manuela) no quiere ayudar. Hace todo lo posible para causarte problemas. Por qué lo hace no lo sé, pero tengo amigos y conocidos que también lo han experimentado. Debería dejar de trabajar allí porque no es en absoluto apta para ese tipo de trabajo.</t>
  </si>
  <si>
    <t>2025-11-25T12:43:36.733Z</t>
  </si>
  <si>
    <t>Cool Patito</t>
  </si>
  <si>
    <t>susana martin es una doctora muy muy muy poca profesional, es muy frívola y no se molesta en escuchar lo que tienes que decir.  ella no te examinará.
Definitivamente no te sientes seguro con ella.
Es la peor doctora que he conocido en mi vida.  HORRIBLE  !!!!
Manuela, que se sienta en el mostrador, también es totalmente terrible.  no tiene educación y está molesta por tener que ayudarte, hace todo lo posible para evitar que recibas ayuda.
He estado allí entre 8 y 10 veces y siempre es lo mismo.
Ya no voy allí.  nunca!!</t>
  </si>
  <si>
    <t>2024-08-19T20:54:07.109Z</t>
  </si>
  <si>
    <t>PILUCA MG</t>
  </si>
  <si>
    <t>PÉSIMA.
He puesto uns estrellas , por que  si no no se puede escribir.
Me he llegado con una infección de orina ya sangrsndo .
Me dicen, que tengo que llame a mi médico ( soy de Córdoba) le comento que no me coge el teléfono en mi centro de salud.
Que por favor solo necesito que me recete el medicamento para  poder ir a la farmacia.
Me dicen que eso me lo tiene que ver un médico.
Le digo que me lo miren .
Me dicen que como no soy del Morche ( teniendo vivienda aqui) que vaya a Torrox a urgencias.
Le digo no tengo trasportes.
Me dicen la ordenanza por nombrarle de alguna manera, que me vaya en autobús.
Estando dos médico delante.
No tuvieron ni la amabilidad de atenderme.
Me pareció nefasto ka atención tanto de los médicos como de la ordenanza.
Empatia cero.
He estado en otro sitio como Azahara de los Atunes, Torremolinos...y me han Tendido perfectamente.
Mejor que cierren ese centro para la pésima atención de medicina y ordenanza</t>
  </si>
  <si>
    <t>2024-08-12T13:21:43.428Z</t>
  </si>
  <si>
    <t>Charo Monte</t>
  </si>
  <si>
    <t>Estuve con mi hija de 10 años para solicitar asistencia médica, llegó con fiebre y vómitos y aún estando la consulta de pediatría vacía no quisieron atendernos. Me parece lamentable el trato recibido, la falta de humanidad. Somos de Córdoba y llevábamos la tarjeta sanitaria y cualquier documentación requerida. Repito lamentable.</t>
  </si>
  <si>
    <t>2023-08-12T11:27:26.471Z</t>
  </si>
  <si>
    <t>Ogiser C. M.</t>
  </si>
  <si>
    <t>Muy mal servicio. Voy con una menor de 10 años con fiebre y otitis y no la atienden por no tener cita, teniendo la tarjeta sanitaria y la consulta de la pediatra vacía. Me tuve que ir en taxi al centro médico de Torrox donde me atendieron sin impedimentos.</t>
  </si>
  <si>
    <t>2023-08-12T11:15:56.602Z</t>
  </si>
  <si>
    <t>Romina</t>
  </si>
  <si>
    <t>Acabo de estar en el ambulatorio y, no entiendo como la señora de admisión puede tener tan poca educación y ser tan incompetente y prepotente al mismo tiempo. No creo que esté capacitada para el puesto que ocupa. Realmente lamentable.</t>
  </si>
  <si>
    <t>2024-11-06T12:24:40.435Z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</si>
</sst>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width="46.7109375" customWidth="1"/>
    <col min="2" max="2" width="65.7109375" customWidth="1"/>
    <col min="3" max="3" width="19.7109375" customWidth="1"/>
    <col min="4" max="4" width="8.7109375" customWidth="1"/>
    <col min="5" max="5" width="16.7109375" customWidth="1"/>
    <col min="6" max="6" width="18.7109375" customWidth="1"/>
    <col min="7" max="7" width="28.7109375" customWidth="1"/>
    <col min="8" max="8" width="15.7109375" customWidth="1"/>
    <col min="9" max="9" width="3798.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f>HYPERLINK("http://www.veterios.com/", "Visit Website")</f>
        <v>0</v>
      </c>
      <c r="F2" s="4">
        <v>4.1</v>
      </c>
      <c r="G2" s="5" t="s">
        <v>16</v>
      </c>
      <c r="H2" s="4">
        <v>1</v>
      </c>
      <c r="I2" s="2" t="s">
        <v>17</v>
      </c>
      <c r="J2" s="4" t="s">
        <v>18</v>
      </c>
      <c r="K2" s="3" t="str">
        <f>HYPERLINK("https://www.google.com/maps/reviews/data=!4m8!14m7!1m6!2m5!1sCi9DQUlRQUNvZENodHljRjlvT2pSSlozY3hUMXBDUjNwM01scDFjVEIzT1ZoYU1rRRAB!2m1!1s0x0:0x761968747eab0f55!3m1!1s2@1:CAIQACodChtycF9oOjRJZ3cxT1pCR3p3Mlp1cTB3OVhaMkE%7C%7C?hl=en", "View Link")</f>
        <v>View Link</v>
      </c>
      <c r="L2" s="3">
        <f>HYPERLINK("https://www.google.com/maps/search/?api=1&amp;query=Hospital%20Veterinario%20de%20Referencia%20Veterios&amp;query_place_id=ChIJ8yYeqd0vQg0RVQ-rfnRoGXY", "Open Map")</f>
        <v>0</v>
      </c>
    </row>
    <row r="3" spans="1:12" ht="20" customHeight="1">
      <c r="A3" s="2"/>
      <c r="B3" s="2"/>
      <c r="C3" s="2"/>
      <c r="D3" s="2"/>
      <c r="E3" s="3"/>
      <c r="F3" s="4"/>
      <c r="G3" s="5" t="s">
        <v>19</v>
      </c>
      <c r="H3" s="4">
        <v>1</v>
      </c>
      <c r="I3" s="2" t="s">
        <v>20</v>
      </c>
      <c r="J3" s="4" t="s">
        <v>21</v>
      </c>
      <c r="K3" s="3" t="str">
        <f>HYPERLINK("https://www.google.com/maps/reviews/data=!4m8!14m7!1m6!2m5!1sCi9DQUlRQUNvZENodHljRjlvT2xSWVpVNXBXVU5wWWxWbWJEQkRTbXBZTUZWVGJGRRAB!2m1!1s0x0:0x761968747eab0f55!3m1!1s2@1:CAIQACodChtycF9oOlRYZU5pWUNpYlVmbDBDSmpYMFVTbFE%7C%7C?hl=en",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HYPERLINK("https://www.google.com/maps/reviews/data=!4m8!14m7!1m6!2m5!1sCi9DQUlRQUNvZENodHljRjlvT2paQk1HYzFkbFV3TVc1V1lYQlRMVUY1TjB3MlFVRRAB!2m1!1s0x0:0x761968747eab0f55!3m1!1s2@1:CAIQACodChtycF9oOjZBMGc1dlUwMW5WYXBTLUF5N0w2QUE%7C%7C?hl=en",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HYPERLINK("https://www.google.com/maps/reviews/data=!4m8!14m7!1m6!2m5!1sCi9DQUlRQUNvZENodHljRjlvT2t0V1gzVm5jMWRXUVdoeVVtOUxPSFZVUTB4d2VHYxAB!2m1!1s0x0:0x761968747eab0f55!3m1!1s2@1:CAIQACodChtycF9oOktWX3Vnc1dWQWhyUm9LOHVUQ0xweGc%7C%7C?hl=en", "View Link")</f>
        <v>View Link</v>
      </c>
      <c r="L5" s="3"/>
    </row>
    <row r="6" spans="1:12" ht="20" customHeight="1">
      <c r="A6" s="2"/>
      <c r="B6" s="2"/>
      <c r="C6" s="2"/>
      <c r="D6" s="2"/>
      <c r="E6" s="3"/>
      <c r="F6" s="4"/>
      <c r="G6" s="5" t="s">
        <v>28</v>
      </c>
      <c r="H6" s="4">
        <v>1</v>
      </c>
      <c r="I6" s="2" t="s">
        <v>29</v>
      </c>
      <c r="J6" s="4" t="s">
        <v>30</v>
      </c>
      <c r="K6" s="3" t="str">
        <f>HYPERLINK("https://www.google.com/maps/reviews/data=!4m8!14m7!1m6!2m5!1sCi9DQUlRQUNvZENodHljRjlvT2xGRVVGZzRjWGgwWlRGR0xWcHlTSHBhWTNSTlJtYxAB!2m1!1s0x0:0x761968747eab0f55!3m1!1s2@1:CAIQACodChtycF9oOlFEUFg4cXh0ZTFGLVpySHpaY3RNRmc%7C%7C?hl=en", "View Link")</f>
        <v>View Link</v>
      </c>
      <c r="L6" s="3"/>
    </row>
    <row r="7" spans="1:12" ht="20" customHeight="1">
      <c r="A7" s="2"/>
      <c r="B7" s="2"/>
      <c r="C7" s="2"/>
      <c r="D7" s="2"/>
      <c r="E7" s="3"/>
      <c r="F7" s="4"/>
      <c r="G7" s="5" t="s">
        <v>31</v>
      </c>
      <c r="H7" s="4">
        <v>1</v>
      </c>
      <c r="I7" s="2" t="s">
        <v>32</v>
      </c>
      <c r="J7" s="4" t="s">
        <v>33</v>
      </c>
      <c r="K7" s="3" t="str">
        <f>HYPERLINK("https://www.google.com/maps/reviews/data=!4m8!14m7!1m6!2m5!1sCi9DQUlRQUNvZENodHljRjlvT2taWldFaFBURUpoT1MxS1kwWXpXbTVaZVZCaFFXYxAB!2m1!1s0x0:0x761968747eab0f55!3m1!1s2@1:CAIQACodChtycF9oOkZZWEhPTEJhOS1KY0YzWm5ZeVBhQWc%7C%7C?hl=en", "View Link")</f>
        <v>View Link</v>
      </c>
      <c r="L7" s="3"/>
    </row>
    <row r="8" spans="1:12" ht="20" customHeight="1">
      <c r="A8" s="2"/>
      <c r="B8" s="2"/>
      <c r="C8" s="2"/>
      <c r="D8" s="2"/>
      <c r="E8" s="3"/>
      <c r="F8" s="4"/>
      <c r="G8" s="5" t="s">
        <v>34</v>
      </c>
      <c r="H8" s="4">
        <v>1</v>
      </c>
      <c r="I8" s="2" t="s">
        <v>35</v>
      </c>
      <c r="J8" s="4" t="s">
        <v>36</v>
      </c>
      <c r="K8" s="3" t="str">
        <f>HYPERLINK("https://www.google.com/maps/reviews/data=!4m8!14m7!1m6!2m5!1sCi9DQUlRQUNvZENodHljRjlvT2tWb2VFVndWMHBQTWpkeFR6bEVlR3R3YlhSSk5HYxAB!2m1!1s0x0:0x761968747eab0f55!3m1!1s2@1:CAIQACodChtycF9oOkVoeEVwV0pPMjdxTzlEeGtwbXRJNGc%7C%7C?hl=en", "View Link")</f>
        <v>View Link</v>
      </c>
      <c r="L8" s="3"/>
    </row>
    <row r="9" spans="1:12" ht="20" customHeight="1">
      <c r="A9" s="2"/>
      <c r="B9" s="2"/>
      <c r="C9" s="2"/>
      <c r="D9" s="2"/>
      <c r="E9" s="3"/>
      <c r="F9" s="4"/>
      <c r="G9" s="5" t="s">
        <v>37</v>
      </c>
      <c r="H9" s="4">
        <v>1</v>
      </c>
      <c r="I9" s="2" t="s">
        <v>38</v>
      </c>
      <c r="J9" s="4" t="s">
        <v>39</v>
      </c>
      <c r="K9" s="3" t="str">
        <f>HYPERLINK("https://www.google.com/maps/reviews/data=!4m8!14m7!1m6!2m5!1sCi9DQUlRQUNvZENodHljRjlvT2xWelpuWXRlRE5LU0RKRlNrazFZVFpJT0dsR2NrRRAB!2m1!1s0x0:0x761968747eab0f55!3m1!1s2@1:CAIQACodChtycF9oOlVzZnYteDNKSDJFSkk1YTZIOGlGckE%7C%7C?hl=en", "View Link")</f>
        <v>View Link</v>
      </c>
      <c r="L9" s="3"/>
    </row>
    <row r="10" spans="1:12" ht="20" customHeight="1">
      <c r="A10" s="2"/>
      <c r="B10" s="2"/>
      <c r="C10" s="2"/>
      <c r="D10" s="2"/>
      <c r="E10" s="3"/>
      <c r="F10" s="4"/>
      <c r="G10" s="5" t="s">
        <v>40</v>
      </c>
      <c r="H10" s="4">
        <v>1</v>
      </c>
      <c r="I10" s="2" t="s">
        <v>41</v>
      </c>
      <c r="J10" s="4" t="s">
        <v>42</v>
      </c>
      <c r="K10" s="3" t="str">
        <f>HYPERLINK("https://www.google.com/maps/reviews/data=!4m8!14m7!1m6!2m5!1sCi9DQUlRQUNvZENodHljRjlvT2xsVE5tVTJkREF5ZEhOblFraEtXa2c1UkhOQ1dGRRAB!2m1!1s0x0:0x761968747eab0f55!3m1!1s2@1:CAIQACodChtycF9oOllTNmU2dDAydHNnQkhKWkg5RHNCWFE%7C%7C?hl=en", "View Link")</f>
        <v>View Link</v>
      </c>
      <c r="L10" s="3"/>
    </row>
    <row r="11" spans="1:12" ht="20" customHeight="1">
      <c r="A11" s="2"/>
      <c r="B11" s="2"/>
      <c r="C11" s="2"/>
      <c r="D11" s="2"/>
      <c r="E11" s="3"/>
      <c r="F11" s="4"/>
      <c r="G11" s="5" t="s">
        <v>43</v>
      </c>
      <c r="H11" s="4">
        <v>1</v>
      </c>
      <c r="I11" s="2" t="s">
        <v>44</v>
      </c>
      <c r="J11" s="4" t="s">
        <v>45</v>
      </c>
      <c r="K11" s="3" t="str">
        <f>HYPERLINK("https://www.google.com/maps/reviews/data=!4m8!14m7!1m6!2m5!1sCi9DQUlRQUNvZENodHljRjlvT20xb09UWnFSVVJ2V2todlpISlVUMEpaVURkT01YYxAB!2m1!1s0x0:0x761968747eab0f55!3m1!1s2@1:CAIQACodChtycF9oOm1oOTZqRURvWkhvZHJUT0JZUDdOMXc%7C%7C?hl=en", "View Link")</f>
        <v>View Link</v>
      </c>
      <c r="L11" s="3"/>
    </row>
    <row r="12" spans="1:12" ht="20" customHeight="1">
      <c r="A12" s="2" t="s">
        <v>46</v>
      </c>
      <c r="B12" s="2" t="s">
        <v>47</v>
      </c>
      <c r="C12" s="2" t="s">
        <v>48</v>
      </c>
      <c r="D12" s="2" t="s">
        <v>15</v>
      </c>
      <c r="E12" s="3" t="s">
        <v>15</v>
      </c>
      <c r="F12" s="4">
        <v>2.3</v>
      </c>
      <c r="G12" s="5" t="s">
        <v>49</v>
      </c>
      <c r="H12" s="4">
        <v>1</v>
      </c>
      <c r="I12" s="2" t="s">
        <v>50</v>
      </c>
      <c r="J12" s="4" t="s">
        <v>51</v>
      </c>
      <c r="K12" s="3" t="str">
        <f>HYPERLINK("https://www.google.com/maps/reviews/data=!4m8!14m7!1m6!2m5!1sChdDSUhNMG9nS0VJQ0FnSUN4azU3bmt3RRAB!2m1!1s0x0:0x26e4a2f06df94d10!3m1!1s2@1:CIHM0ogKEICAgICxk57nkwE%7C%7C?hl=en", "View Link")</f>
        <v>View Link</v>
      </c>
      <c r="L12" s="3">
        <f>HYPERLINK("https://www.google.com/maps/search/?api=1&amp;query=El%20Morche%20Health%20Centre&amp;query_place_id=ChIJI0ssB5w5cg0REE35bfCi5CY", "Open Map")</f>
        <v>0</v>
      </c>
    </row>
    <row r="13" spans="1:12" ht="20" customHeight="1">
      <c r="A13" s="2"/>
      <c r="B13" s="2"/>
      <c r="C13" s="2"/>
      <c r="D13" s="2"/>
      <c r="E13" s="3"/>
      <c r="F13" s="4"/>
      <c r="G13" s="5" t="s">
        <v>52</v>
      </c>
      <c r="H13" s="4">
        <v>1</v>
      </c>
      <c r="I13" s="2" t="s">
        <v>53</v>
      </c>
      <c r="J13" s="4" t="s">
        <v>54</v>
      </c>
      <c r="K13" s="3" t="str">
        <f>HYPERLINK("https://www.google.com/maps/reviews/data=!4m8!14m7!1m6!2m5!1sCi9DQUlRQUNvZENodHljRjlvT25oM2VGWmFRVmhwZEZKRE5ETkZlbkY0UldwNldrRRAB!2m1!1s0x0:0x26e4a2f06df94d10!3m1!1s2@1:CAIQACodChtycF9oOnh3eFZaQVhpdFJDNDNFenF4RWp6WkE%7C%7C?hl=en", "View Link")</f>
        <v>View Link</v>
      </c>
      <c r="L13" s="3"/>
    </row>
    <row r="14" spans="1:12" ht="20" customHeight="1">
      <c r="A14" s="2"/>
      <c r="B14" s="2"/>
      <c r="C14" s="2"/>
      <c r="D14" s="2"/>
      <c r="E14" s="3"/>
      <c r="F14" s="4"/>
      <c r="G14" s="5" t="s">
        <v>55</v>
      </c>
      <c r="H14" s="4">
        <v>1</v>
      </c>
      <c r="I14" s="2" t="s">
        <v>56</v>
      </c>
      <c r="J14" s="4" t="s">
        <v>57</v>
      </c>
      <c r="K14" s="3" t="str">
        <f>HYPERLINK("https://www.google.com/maps/reviews/data=!4m8!14m7!1m6!2m5!1sCi9DQUlRQUNvZENodHljRjlvT2tscFVUWlNTMlJpWkVGT1ZHMDBYelV0ZGw4emFrRRAB!2m1!1s0x0:0x26e4a2f06df94d10!3m1!1s2@1:CAIQACodChtycF9oOklpUTZSS2RiZEFOVG00XzUtdl8zakE%7C%7C?hl=en", "View Link")</f>
        <v>View Link</v>
      </c>
      <c r="L14" s="3"/>
    </row>
    <row r="15" spans="1:12" ht="20" customHeight="1">
      <c r="A15" s="2"/>
      <c r="B15" s="2"/>
      <c r="C15" s="2"/>
      <c r="D15" s="2"/>
      <c r="E15" s="3"/>
      <c r="F15" s="4"/>
      <c r="G15" s="5" t="s">
        <v>58</v>
      </c>
      <c r="H15" s="4">
        <v>1</v>
      </c>
      <c r="I15" s="2" t="s">
        <v>59</v>
      </c>
      <c r="J15" s="4" t="s">
        <v>60</v>
      </c>
      <c r="K15" s="3" t="str">
        <f>HYPERLINK("https://www.google.com/maps/reviews/data=!4m8!14m7!1m6!2m5!1sCi9DQUlRQUNvZENodHljRjlvT2toS2RWSm9kamh6Um1nM05raHFUR1JLVFRCVWQxRRAB!2m1!1s0x0:0x26e4a2f06df94d10!3m1!1s2@1:CAIQACodChtycF9oOkhKdVJodjhzRmg3NkhqTGRKTTBUd1E%7C%7C?hl=en", "View Link")</f>
        <v>View Link</v>
      </c>
      <c r="L15" s="3"/>
    </row>
    <row r="16" spans="1:12" ht="20" customHeight="1">
      <c r="A16" s="2"/>
      <c r="B16" s="2"/>
      <c r="C16" s="2"/>
      <c r="D16" s="2"/>
      <c r="E16" s="3"/>
      <c r="F16" s="4"/>
      <c r="G16" s="5" t="s">
        <v>61</v>
      </c>
      <c r="H16" s="4">
        <v>1</v>
      </c>
      <c r="I16" s="2" t="s">
        <v>62</v>
      </c>
      <c r="J16" s="4" t="s">
        <v>63</v>
      </c>
      <c r="K16" s="3" t="str">
        <f>HYPERLINK("https://www.google.com/maps/reviews/data=!4m8!14m7!1m6!2m5!1sCi9DQUlRQUNvZENodHljRjlvT2xkRllrUktRMUI2UmxoQ2RGaFhPR0Y2UVZkU2IwRRAB!2m1!1s0x0:0x26e4a2f06df94d10!3m1!1s2@1:CAIQACodChtycF9oOldFYkRKQ1B6RlhCdFhXOGF6QVdSb0E%7C%7C?hl=en", "View Link")</f>
        <v>View Link</v>
      </c>
      <c r="L16" s="3"/>
    </row>
    <row r="17" spans="1:12" ht="20" customHeight="1">
      <c r="A17" s="2"/>
      <c r="B17" s="2"/>
      <c r="C17" s="2"/>
      <c r="D17" s="2"/>
      <c r="E17" s="3"/>
      <c r="F17" s="4"/>
      <c r="G17" s="5" t="s">
        <v>64</v>
      </c>
      <c r="H17" s="4">
        <v>1</v>
      </c>
      <c r="I17" s="2" t="s">
        <v>65</v>
      </c>
      <c r="J17" s="4" t="s">
        <v>66</v>
      </c>
      <c r="K17" s="3" t="str">
        <f>HYPERLINK("https://www.google.com/maps/reviews/data=!4m8!14m7!1m6!2m5!1sChdDSUhNMG9nS0VJQ0FnSUM3MzhXVXBnRRAB!2m1!1s0x0:0x26e4a2f06df94d10!3m1!1s2@1:CIHM0ogKEICAgIC738WUpgE%7C%7C?hl=en", "View Link")</f>
        <v>View Link</v>
      </c>
      <c r="L17" s="3"/>
    </row>
    <row r="18" spans="1:12" ht="20" customHeight="1">
      <c r="A18" s="2"/>
      <c r="B18" s="2"/>
      <c r="C18" s="2"/>
      <c r="D18" s="2"/>
      <c r="E18" s="3"/>
      <c r="F18" s="4"/>
      <c r="G18" s="5" t="s">
        <v>67</v>
      </c>
      <c r="H18" s="4">
        <v>1</v>
      </c>
      <c r="I18" s="2" t="s">
        <v>68</v>
      </c>
      <c r="J18" s="4" t="s">
        <v>69</v>
      </c>
      <c r="K18" s="3" t="str">
        <f>HYPERLINK("https://www.google.com/maps/reviews/data=!4m8!14m7!1m6!2m5!1sChZDSUhNMG9nS0VJQ0FnSUM3aEpUelBREAE!2m1!1s0x0:0x26e4a2f06df94d10!3m1!1s2@1:CIHM0ogKEICAgIC7hJTzPQ%7C%7C?hl=en", "View Link")</f>
        <v>View Link</v>
      </c>
      <c r="L18" s="3"/>
    </row>
    <row r="19" spans="1:12" ht="20" customHeight="1">
      <c r="A19" s="2"/>
      <c r="B19" s="2"/>
      <c r="C19" s="2"/>
      <c r="D19" s="2"/>
      <c r="E19" s="3"/>
      <c r="F19" s="4"/>
      <c r="G19" s="5" t="s">
        <v>70</v>
      </c>
      <c r="H19" s="4">
        <v>1</v>
      </c>
      <c r="I19" s="2" t="s">
        <v>71</v>
      </c>
      <c r="J19" s="4" t="s">
        <v>72</v>
      </c>
      <c r="K19" s="3" t="str">
        <f>HYPERLINK("https://www.google.com/maps/reviews/data=!4m8!14m7!1m6!2m5!1sChZDSUhNMG9nS0VJQ0FnSUNwdC1YZUdREAE!2m1!1s0x0:0x26e4a2f06df94d10!3m1!1s2@1:CIHM0ogKEICAgICpt-XeGQ%7C%7C?hl=en", "View Link")</f>
        <v>View Link</v>
      </c>
      <c r="L19" s="3"/>
    </row>
    <row r="20" spans="1:12" ht="20" customHeight="1">
      <c r="A20" s="2"/>
      <c r="B20" s="2"/>
      <c r="C20" s="2"/>
      <c r="D20" s="2"/>
      <c r="E20" s="3"/>
      <c r="F20" s="4"/>
      <c r="G20" s="5" t="s">
        <v>73</v>
      </c>
      <c r="H20" s="4">
        <v>1</v>
      </c>
      <c r="I20" s="2" t="s">
        <v>74</v>
      </c>
      <c r="J20" s="4" t="s">
        <v>75</v>
      </c>
      <c r="K20" s="3" t="str">
        <f>HYPERLINK("https://www.google.com/maps/reviews/data=!4m8!14m7!1m6!2m5!1sChZDSUhNMG9nS0VJQ0FnSUNwdC1uUlB3EAE!2m1!1s0x0:0x26e4a2f06df94d10!3m1!1s2@1:CIHM0ogKEICAgICpt-nRPw%7C%7C?hl=en", "View Link")</f>
        <v>View Link</v>
      </c>
      <c r="L20" s="3"/>
    </row>
    <row r="21" spans="1:12" ht="20" customHeight="1">
      <c r="A21" s="2"/>
      <c r="B21" s="2"/>
      <c r="C21" s="2"/>
      <c r="D21" s="2"/>
      <c r="E21" s="3"/>
      <c r="F21" s="4"/>
      <c r="G21" s="5" t="s">
        <v>76</v>
      </c>
      <c r="H21" s="4">
        <v>1</v>
      </c>
      <c r="I21" s="2" t="s">
        <v>77</v>
      </c>
      <c r="J21" s="4" t="s">
        <v>78</v>
      </c>
      <c r="K21" s="3" t="str">
        <f>HYPERLINK("https://www.google.com/maps/reviews/data=!4m8!14m7!1m6!2m5!1sChdDSUhNMG9nS0VJQ0FnSUMza1plYmxRRRAB!2m1!1s0x0:0x26e4a2f06df94d10!3m1!1s2@1:CIHM0ogKEICAgIC3kZeblQE%7C%7C?hl=en", "View Link")</f>
        <v>View Link</v>
      </c>
      <c r="L21" s="3"/>
    </row>
  </sheetData>
  <mergeCells count="14">
    <mergeCell ref="A2:A11"/>
    <mergeCell ref="B2:B11"/>
    <mergeCell ref="C2:C11"/>
    <mergeCell ref="D2:D11"/>
    <mergeCell ref="E2:E11"/>
    <mergeCell ref="F2:F11"/>
    <mergeCell ref="L2:L11"/>
    <mergeCell ref="A12:A21"/>
    <mergeCell ref="B12:B21"/>
    <mergeCell ref="C12:C21"/>
    <mergeCell ref="D12:D21"/>
    <mergeCell ref="E12:E21"/>
    <mergeCell ref="F12:F21"/>
    <mergeCell ref="L12:L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2026-08-11T13:41:33Z</dcterms:created>
  <dcterms:modified xsi:type="dcterms:W3CDTF">2026-08-11T13:41:33Z</dcterms:modified>
</cp:coreProperties>
</file>