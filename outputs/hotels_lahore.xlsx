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gative Reviews" sheetId="1" r:id="rId1"/>
  </sheets>
  <calcPr calcId="124519" fullCalcOnLoad="1"/>
</workbook>
</file>

<file path=xl/sharedStrings.xml><?xml version="1.0" encoding="utf-8"?>
<sst xmlns="http://schemas.openxmlformats.org/spreadsheetml/2006/main" count="434" uniqueCount="204">
  <si>
    <t>Business Name</t>
  </si>
  <si>
    <t>Address</t>
  </si>
  <si>
    <t>Phone</t>
  </si>
  <si>
    <t>Email</t>
  </si>
  <si>
    <t>Business Rating</t>
  </si>
  <si>
    <t>Reviewer Name</t>
  </si>
  <si>
    <t>Review Stars</t>
  </si>
  <si>
    <t>Review Text</t>
  </si>
  <si>
    <t>Review Date</t>
  </si>
  <si>
    <t>Review Link</t>
  </si>
  <si>
    <t>Business Maps Link</t>
  </si>
  <si>
    <t>Pearl Continental Hotel, Lahore</t>
  </si>
  <si>
    <t>Shahrah-e-Quaid-e-Azam, Garhi Shahu, Lahore, Pakistan</t>
  </si>
  <si>
    <t>+92 42 111 505 505</t>
  </si>
  <si>
    <t>pchk@pchotels.com</t>
  </si>
  <si>
    <t>딱콩이</t>
  </si>
  <si>
    <t>​I absolutely do not recommend this hotel. If you are a foreigner, I strongly advise against staying here.
While the PC Hotel is said to have a rich heritage in Pakistan, the behavior of some staff members is highly problematic.
​1. Unacceptable Service and Responsiveness
Requesting basic amenities like towels or bottled water takes at least a full day. Even after calling multiple times, they routinely promise it will arrive "in 5 minutes," yet nothing shows up by the next day. Going down to the reception to complain in person yields the exact same result—they simply claim they will inform the staff, and the items still don't arrive for days. They fail to respond to any requests, not just basic amenities. To make matters worse, some staff members even openly mocked and laughed at me as a foreigner.
​2. Financial Misconduct during Currency Exchange
When exchanging money, the staff did not return the correct change, claiming they "didn't have enough cash." When I demanded the remaining amount, they promised to deliver it to my room but never did. It strongly appears that the employees are pocketing guests' money this way.
The relevant department needs to thoroughly retrain their staff and take this matter seriously instead of brushing it off.
To anyone considering booking this hotel: I absolutely, under no circumstances, recommend this place.</t>
  </si>
  <si>
    <t>2026-05-16T18:32:21.896Z</t>
  </si>
  <si>
    <t>Malik Waqas</t>
  </si>
  <si>
    <t>My recent stay at PC Hotel Lahore was extremely disappointing and far below the standard expected from a luxury hotel.
The room was outdated, poorly maintained, and not properly cleaned. The carpet was visibly dirty, making the room feel unhygienic. The TV setup was old-fashioned with an outdated cabinet, there was no Smart TV to enjoy Netflix or YouTube, and most TV channels were either unavailable or not working. There was virtually no in-room entertainment.
The service was equally disappointing. Although the official check-in time is 2:00 PM, we arrived around 4:00 PM and were still asked to wait for almost an hour because the room was "not ready." This is unacceptable for a hotel of this reputation.
PC Hotel Lahore seriously needs major renovations, better housekeeping, improved customer service, and a more efficient check-in process.
Unfortunately, this stay was not worth the money, and it affected our leisure time. I hope the management takes these issues seriously and improves the overall guest experience.</t>
  </si>
  <si>
    <t>2026-07-06T10:48:14.240Z</t>
  </si>
  <si>
    <t>sha attique</t>
  </si>
  <si>
    <t>We were very disappointed with our stay at PC. The service did not meet the standards we expected. The room was not properly maintained, several issues were not resolved despite informing the staff, and the overall experience was stressful rather than comfortable. We expected much better hospitality and professionalism from a hotel of this reputation. Unfortunately, our stay did not provide good value for the price we paid.</t>
  </si>
  <si>
    <t>2026-07-11T20:50:56.956Z</t>
  </si>
  <si>
    <t>Shumaila Jawed</t>
  </si>
  <si>
    <t>Oh my God it was such a disappointment as soon as we got into rooms hallway… dingy, bad lighting,smelly stinky like a 2 star hotel, dirty carpet with baby lizards on floor. Due to seepage hallway had a distinct smell.
AC doesn’t work, it’s centrally controlled so it’s too hot for me at night effecting my sleep.
Rooms are outdated , carpets are dirty and have stains, room sofas are uncomfortable. Wardrobe is horrible.. refrigerator dirty.. (pic attached)
Room doors damaged(pic attached)
The toiletries aren’t 5* quality, usually you have decent amenities. so it feels a very big, old 3-4* hotel based on cleanliness and products. Entrance too long
Wouldn’t stay again.</t>
  </si>
  <si>
    <t>2026-07-12T20:29:04.242Z</t>
  </si>
  <si>
    <t>Sabhi</t>
  </si>
  <si>
    <t>Worst experience with PC hotel security at gate. I was on bike with my friend to attend a conference and first they don't have any proper sign board to mention where Bike should go, the only small sign above eye level says "MCYCLE" without any picture or figure which makes it easier to miss, I accidentally went onto the main one, then the guy called me back so I went back. Now the security guard asked me why I didn't go through the Bike channel, so I replied that the board is not visible and doesn't clearly say where bikes should go, to this he rudely replied "App pehli baar PC hotel aye ho?". I simply said "mai behak pehli baar aya hu ya nahi iska issai kya taaluq hai agar board proper nahi hai". Now he asked me to remove my helmet, my helmet is flip open one, so I opened it to show my face (which is norm as nobody asks to remove complete helmet if its modular/flip open one). This started the ordeal, the guard said to remove helmet again, to which I said that I have it flipped open which is showing my face for security purposes already. This started the argument and heated exchange, I asked him to show me the place of paper where it mentions that complete helmet must be removed, in this exchange he said " agar app aisa karna chahte hain tou mere paas buhat time hai" and asked me to step aside and called for his senior security Incharge which was a young guy in white shirt and black pants. The guy was rude. Not only did he repeatedly denied me to show the rule book regarding this security point but also kept saying that you can go back very rudely if I can't comply with their rules, I kept repeating that "Show me this mentioned in the rule book" and I will remove my helmet. Now I didn't want to waste any further time and escalate so I removed my helmet and he let me into the check booth, now the guy in white asked the guard if he had checked my ID card. I said sure but also check the ID of the biker in front of me if its the norm and not only mine. This escalated the situation and he again started to say that you cannot enter if you don't comply with rules, I asked him his name to which he said " Main kyun batao" so I left as it was scorching heat and I didn't want to waste anymore time with this supposedly security Incharge who wasn't even trained to handle anything or knew how to talk with guests.</t>
  </si>
  <si>
    <t>2026-05-23T10:10:16.816Z</t>
  </si>
  <si>
    <t>Tehmeena Samil</t>
  </si>
  <si>
    <t>We stayed at PC Hotel Lahore from 30th January to 2nd February, and unfortunately the experience did not match the five-star reputation or the price paid.
Although the room was large and spacious, the furniture was very old, worn, and marked. The hotel definitely needs better and updated furniture. Cleanliness was below standard, with visible dust suggesting only surface-level cleaning. The corridor outside our room was untidy, and an open storage room full of messy housekeeping items made the floor look poorly managed and unprofessional.
Housekeeping service was also very slow. I requested a prayer mat and had to wait over an hour for it to arrive, which was disappointing.
Another issue occurred on the night of 31st of January when we returned to the hotel around 11:30 pm. The hotel parking was completely full, with large trucks occupying much of the space. Valet parking was not available, and we were asked to park in a car park some distance away from the hotel. We then had to walk back to the hotel through the parked trucks late at night, which was inconvenient and frustrating, especially for a hotel of this standard.
The hotel appears to have plenty of staff but lacks proper management and organisation. Significant improvements in maintenance, training, and supervision are needed to meet basic five-star standards.</t>
  </si>
  <si>
    <t>2026-02-11T23:54:35.462Z</t>
  </si>
  <si>
    <t>Khurshid Chaudhry</t>
  </si>
  <si>
    <t>We stayed at this place from 23rd March to 30th March 2026 and they (Pakistani Authorities) made it hell for ordinary tourists. Apparently PSL was going on and  players and officials were staying here. 3 out of 4 lifts were prohibited for other residents. Most walkways were often closed and uniformed and without uniform cops were everywhere who stare every other guests. The most annoying part  was when any team has to leave or enter the hotel they close and halt all the in and out traffic. On 27th March around 5 pm it took us exact 25 minutes to come out of hotel in our hired car as they pulled down the Boom gate and hold the ordinary traffic for that long to go out of Hotel. The night before that when we wanted to enter the hotel we have to travel extra   6 -7 Kms as normal entrance was closed and their was long ques of traffic on Mall Road.
I believe that they should advertise on their website well before schedule of any such event so ordinary tourist make alternate  booking in some other hotel during this PSL event.
Other thing is, this used to be a wonderful Hotel but now their sewerage system needs major update as often room toilets start stinging badly and was not clearing in spite of using many  flushes. Same kind of sting was often present in the long hallway which leads to main security entry/exit point and this was probably due to set of toilets. I believe we being non local may be feeling sting too much while most locals even may not notice of this common occurrence of bad smell.
I must appreciate the wonderful and most friendly staff, efficient service most of the time and excellent complementary buffet breakfast which comprises of huge collection of both traditional and continental breakfast items. I hope hotel management will seriously address above mentioned issues</t>
  </si>
  <si>
    <t>2026-04-18T08:56:52.096Z</t>
  </si>
  <si>
    <t>Muhammad Yasin</t>
  </si>
  <si>
    <t>Sir, I just arrived here at P C Hotel Lahore. They are charging 2500 rupees for the driver’s accommodation, but there is not even a fan or any proper facility here. There is only a mattress and a very small place to stay. A place that receives such high-profile clients should provide better arrangements for drivers as well.</t>
  </si>
  <si>
    <t>2026-05-07T17:45:34.925Z</t>
  </si>
  <si>
    <t>Hazik K</t>
  </si>
  <si>
    <t>Where is swimming pool experience? Children using their shoes in the pool? A lot of flies not clean no lifeguard. A lot of improvement required for the pool area. Hotel itself is nice but I’m afraid for swimming pool. It’s terrible. I’ve taken my two children there and myself never again. I will visit this area. It’s absolutely filthy and disgusting. Look into this. Whoever the management is thank you.</t>
  </si>
  <si>
    <t>2026-04-21T08:42:27.949Z</t>
  </si>
  <si>
    <t>Four Points by Sheraton Lahore</t>
  </si>
  <si>
    <t>25 Egerton Rd, Garhi Shahu, Lahore, 54000, Pakistan</t>
  </si>
  <si>
    <t>+92 42 36310077</t>
  </si>
  <si>
    <t>N/A</t>
  </si>
  <si>
    <t>Śháfee</t>
  </si>
  <si>
    <t>I visited here last time and the person who is here is manager Matthew, his behaviour is not good even they pass a bullish comments I think this is not perfect for this job
Even other serving guy Waqas is excellent polite calm and his behaviour with me perfect even not me I see the with other customers is good too.</t>
  </si>
  <si>
    <t>2026-07-24T04:18:41.258Z</t>
  </si>
  <si>
    <t>Haikal Zainal Abidin</t>
  </si>
  <si>
    <t>I stayed for 4 nights in this hotel. As a bonvoy members, my room being upgraded. Offer me good room but when you arrived in the room.. it is full of dusts.. reached late evening im sure there is ample time to clean the room properly. View it from the photo and video attached. I even requested to housekeeping to clean the room entirely but outcome still the same.
Their hospitality at the lobby and restaurant is good at their service.
During the checkout I just reminded to them regarding the room condition. As this hotel is part of Marriot group and Im one of their loyal members.</t>
  </si>
  <si>
    <t>2026-02-08T15:19:42.334Z</t>
  </si>
  <si>
    <t>Jun Ying</t>
  </si>
  <si>
    <t>For a 4-star hotel, the cleanliness and quality of the duvet and bed sheets were very disappointing. They appeared unhygienic and not properly laundered. We reported the issue to the manager, but were told that nothing could be done as there had already been multiple complaints about the laundry service. This response was concerning and did not reflect the standards expected of a hotel in this category.
Re:Hotel reply
I reported to your front desk manager, he said: "I don't care if you write a review."</t>
  </si>
  <si>
    <t>2026-03-31T00:00:44.591Z</t>
  </si>
  <si>
    <t>Babar Salim Khan</t>
  </si>
  <si>
    <t>Very disappointing experience.
Mr. Ibrar, Director Sales of this hotel, displayed an extremely unprofessional and discourteous attitude. Our guest, a Platinum member, requested access to the business center, which is normally complimentary. He first insisted on extra payment, and when this was declined, abruptly claimed the facility was unavailable and already booked. The interaction was handled poorly and left a very negative impression. This behavior is unacceptable in the hospitality industry. We will neither stay here again nor recommend this hotel to our guests.</t>
  </si>
  <si>
    <t>2026-01-17T05:52:48.040Z</t>
  </si>
  <si>
    <t>john albert</t>
  </si>
  <si>
    <t>“This hotel is an absolute disaster. From the moment you walk in, the smell hits you—like something died, came back, and died again. The staff look like they’re being held hostage, the rooms feel like they haven’t been cleaned since the previous century, and the beds are so uncomfortable you’d sleep better on a bus stop bench. The food? I wouldn’t feed it to a stray dog. If you value your sanity, your sleep, or your health, avoid this place at all costs.</t>
  </si>
  <si>
    <t>2025-12-01T06:09:44.636Z</t>
  </si>
  <si>
    <t>S.A</t>
  </si>
  <si>
    <t>Modern appearance but serious issues with cleanliness, maintenance, and overall hospitality standards.</t>
  </si>
  <si>
    <t>2026-05-11T10:15:37.463Z</t>
  </si>
  <si>
    <t>Azhar Iqbal</t>
  </si>
  <si>
    <t>Only location is good rest is just plain pathetic
Rooms have really bad smell of old furniture and carpet and room service add to this pathetic service we have them suit to press and in morning they returned without touch it and we had to iron ourselves and got late for the meeting.
Worst experience in any Marriot hotel</t>
  </si>
  <si>
    <t>2025-12-24T12:55:16.552Z</t>
  </si>
  <si>
    <t>Kaleem</t>
  </si>
  <si>
    <t>One of the worst hotels I have ever stayed in. The staff act like beggars. Whenever you order anything, such as water, the housekeeping staff will remain in the room until you tip them. The housekeeping staff are extremely unprofessional. The reception staff are also unprofessional; when you tell them about your issue, they never solve it. Instead, they keep chatting with their female front desk colleagues.
The hotel advertises a so-called spa service on the top floor, but it does not provide spa services. Instead, when you enter, professional call girls approach you, offering other services and constantly demanding money. I believe this should be banned in such a country.
My overall experience was zero, even though I stayed for four days at this hotel. The food was terrible and unhygienic. The high tea buffet was awful, the breakfast was awful, and lunch at both the hotel restaurant and the rooftop restaurant was unhygienic, poorly prepared, and handled by unprofessional staff. While eating lunch at the restaurant, the staff kept staring at me the entire time, which was extremely unprofessional.
This hotel needs to be banned, as it is below a one-star standard. Do not ever waste your money by staying at this poor hotel.</t>
  </si>
  <si>
    <t>2025-09-26T04:31:12.214Z</t>
  </si>
  <si>
    <t>Emily Hafley</t>
  </si>
  <si>
    <t>Very uncomfortable stay – not up to Marriott standards
We had an incredibly disappointing experience at this property. We paid in cash (USD), and the woman at check-in rushed us into our room, clearly trying to avoid giving us our change. The exchange rate was manipulated in their favor, and overall the check-in felt shady and unwelcoming.
The “lounge” is just a bare seating area. When we asked if there were any snacks or drinks for Titanium members, they hesitated, then eventually brought some — but wouldn’t leave the room until we tipped them. This happened more than once. Staff repeatedly hovered and expected tips for basic services that are supposed to be complimentary.
We booked a room with two beds but were given one. When we asked to switch, the manager acted like he was doing us a huge favor, then also stood around awkwardly waiting for a tip — twice. Another staff member came in just to drop off towels and asked, “Anything for me?” before leaving.
The room reeked of cigarette smoke. We let the front desk know, but they didn’t care and made no effort to resolve it. I had a terrible headache all night from the smell and couldn’t sleep. To top it off, they didn’t have the airport shuttle ready the next morning as promised, and we nearly missed our flight.
Overall, this hotel felt dishonest and uncomfortable from start to finish. Definitely not what I expect from a Marriott — especially as a Titanium member.</t>
  </si>
  <si>
    <t>2025-07-01T02:57:38.275Z</t>
  </si>
  <si>
    <t>Deeba Giannoulis</t>
  </si>
  <si>
    <t>** I had an absolutely horrendous experience at the Four Points Hotel in Lahore, Pakistan, which I feel compelled to share to ensure others don’t fall into the same trap, especially if you are a loyal Marriott member like myself. First, let me begin with the deceptive billing practices. The hotel charged my account without any prior notice or authorization. I had made a booking and confirmed all details with the hotel beforehand, but without any warning, they decided to charge my credit card well ahead of check-in. No one informed me of this charge, and when I asked for clarification, they were evasive and unapologetic. But the worst part came when I arrived at the hotel. Despite having a confirmed reservation, they claimed that they didn’t have a room available for me and tried to make excuses about other guests refusing to leave. After a long day of travel, this was the last thing I needed. No effort was made to accommodate me, and I was left stranded with no place to stay. The staff was completely unhelpful, and the management showed no regard for my situation. It was clear that, despite being a global member of Marriott and having stayed with them countless times for work events, my loyalty meant nothing here. I’ve never been treated with such disregard by a hotel under the Marriott brand, and this experience has completely soured my perception of Four Points. I will never choose this property again, and I strongly advise anyone looking for a reliable and honest place to stay to avoid this hotel. Save yourself the frustration and disappointment. There are far better hotels in Lahore that actually value their guests and treat them with respect. Stay away from Four Points, Lahore—you’re better off elsewhere.</t>
  </si>
  <si>
    <t>2025-02-18T15:58:46.924Z</t>
  </si>
  <si>
    <t>The Residency Hotel</t>
  </si>
  <si>
    <t>39-A Zafar Ali Rd, Gulberg V, Lahore, 54000, Pakistan</t>
  </si>
  <si>
    <t>+92 42 111 395 395</t>
  </si>
  <si>
    <t>booking@rh.com.pk</t>
  </si>
  <si>
    <t>Umair Hussain</t>
  </si>
  <si>
    <t>Visited with my friends. Amenities were really good, fully equipped gym, big pool.
But very bad sercive.
Ali abid at the pool reception was very rude. Front officr staff was not welcming at all.
Housekeeping staff was nice.
Breakfast was minimal and crockery was not clean.
Overall, for a price they charge. It is not recommended at all</t>
  </si>
  <si>
    <t>2026-04-26T15:30:24.703Z</t>
  </si>
  <si>
    <t>Aqeel Ahmed</t>
  </si>
  <si>
    <t>Prime location. Amenities are good but Not worth it for the price, Mr. Ali Abid at the pool reception was very rude. Front office staff very unpleasant.
Highly overpriced and mediocre service.
You can visit for Amenities but dont expect quality service from any one except housekeeping staff.</t>
  </si>
  <si>
    <t>2026-04-26T15:24:03.569Z</t>
  </si>
  <si>
    <t>Raja Muhammad Shoaib</t>
  </si>
  <si>
    <t>This is just a massage oriented. And gym etc. hotel is just a front end business model. This is basically a massage center.and everybody knows what happens there</t>
  </si>
  <si>
    <t>2026-05-17T09:46:32.092Z</t>
  </si>
  <si>
    <t>Fatima Idrees</t>
  </si>
  <si>
    <t>It was 1:30 a.m, and our room still had no mattresses. This is the hospitality that was promised to us? I am truly heartbroken and deeply disappointed.
We had booked this hotel a day in advance. I even received a confirmation call in the morning, during which I clearly informed the staff that we would arrive around 5 p.m. I was assured—very confidently—that the room would be ready by 4:30 p.m.
We checked in at 7 p.m. and stepped out briefly, trusting that everything would be in place. When we returned later, the mattresses were still missing. At 12 midnight, we requested them again, only to be told—shockingly—that there was only ONE mattress available in the entire hotel.
No room change. No solution. Just silence and waiting.
We were made to wait until 1:49 a.m. Meanwhile, our little children fell asleep on chairs and corners, exhausted, confused, and helpless. Watching them like that was painful beyond words.
This was not just poor service—it was emotional distress, especially for a family with young children. What was promised so confidently turned into a night of discomfort, disappointment, and tears.</t>
  </si>
  <si>
    <t>2025-12-30T21:06:55.606Z</t>
  </si>
  <si>
    <t>Mano Khan</t>
  </si>
  <si>
    <t>The prize not worth the hotel the hotel staff room service and house does not pick the call plz dnt waste money on this hotel</t>
  </si>
  <si>
    <t>2026-07-09T21:03:30.460Z</t>
  </si>
  <si>
    <t>Arshad Arslaan</t>
  </si>
  <si>
    <t>We booked the room via booking.com the receptionist rejected our booking and demanded additional cash for the room. Very disappointed</t>
  </si>
  <si>
    <t>2026-01-22T19:11:58.281Z</t>
  </si>
  <si>
    <t>Abid Arif</t>
  </si>
  <si>
    <t>1. Bed bugs
2. Dirty linen the pillows and comforter were yellow
3. Washroom commode was filthy if u lift the toilet seat
4. Unfriendly reception guys
5. Worst black coffee from room service</t>
  </si>
  <si>
    <t>2025-04-18T12:08:33.492Z</t>
  </si>
  <si>
    <t>Nazia Azam</t>
  </si>
  <si>
    <t>Worst experience, they committed one thing on phone and when we reached at reception they completely denied. I requested for accommodation of 10 having 8 adults two children. But the receptionist assumed that the children are supposed to be sleeping with the parents. And when we requested for mattress he bluffed along with the bell boy that they dont have. When i left the premisses and complained to
Higher management, mattress some how out of blue were available. But then i already got to furstrated that i did not wanted to
Stay with them. I moved my family to hotel D gates instead. And was very happy with their hospitality</t>
  </si>
  <si>
    <t>2024-07-14T10:30:31.473Z</t>
  </si>
  <si>
    <t>Bilal Farooq</t>
  </si>
  <si>
    <t>I booked two nights on booking.com  but the
Person here named Ali on the counter doesnt comply and doesnt give help with the booking</t>
  </si>
  <si>
    <t>2026-01-10T19:32:57.664Z</t>
  </si>
  <si>
    <t>Magnar Sajid Farid</t>
  </si>
  <si>
    <t>This hotel is not recommended for families and couples. They were to enter the family deluxe room where we stayed at in the middle of night,the kids started to cry. We where a family on four  with only two water bottles and two towels.
The girl in the counter was very rude and we payed approx 45K for 2 nights. Hotels like avari and ps is better.</t>
  </si>
  <si>
    <t>2023-11-22T17:26:21.020Z</t>
  </si>
  <si>
    <t>Faletti's Hotel Lahore</t>
  </si>
  <si>
    <t>24 Egerton Rd, Garhi Shahu, Lahore, 54000, Pakistan</t>
  </si>
  <si>
    <t>+92 42 111 444 333</t>
  </si>
  <si>
    <t>info@ihms.com.pk</t>
  </si>
  <si>
    <t>Waleed Hussain</t>
  </si>
  <si>
    <t>I arranged recently nikkah ceremony here Food taste 1/10 . Jo mutton biryani thi mutton to tha he nahi andar and waiter intahai batmeez. Hall ki lights 30 minutes late on hoi or pory 10 bje band krdi. Very disappointed don’t waste your money &amp; event.</t>
  </si>
  <si>
    <t>2026-06-15T09:32:33.535Z</t>
  </si>
  <si>
    <t>W.</t>
  </si>
  <si>
    <t>Yesterday, I had a very disappointing experience with this Hotel in Lahore despite having stayed there previously for an extended period (8 months) in COVID.
So, About a month before my trip, I made a reservation directly through their official website and received a confirmation. The full payment for a six-day stay was deducted in advance.
After traveling internationally for around 18 hours, I arrived at the hotel expecting a smooth check-in. Instead, the reception staff immediately stated that they do not accept online bookings. They did not check my name, reservation details, or even attempt to look into the system. The interaction felt cold and dismissive, with no consideration for the fact that I was an exhausted international guest who had already paid in full.
I showed them the booking confirmation and proof of payment, yet I was simply told to “call them.” When I contacted the number provided, it turned out to be their own administration office, which was already aware of my reservation. They agreed to issue a refund, but informed me it would take around 20 days to process. Having a significant amount of money held for that long, especially after a confirmed booking was denied, is extremely inconvenient and concerning for any traveler.
What made the situation more surprising was that I had previously stayed at this hotel for several months, so I expected at least a basic level of recognition or courtesy. Unfortunately, there was no effort to resolve the issue on the spot, no apology, and no attempt to accommodate me in any way. I ultimately had to leave and find alternative lodging on my own.
Overall, the lack of professionalism at reception, poor handling of confirmed reservations, and delayed refund process created a very negative impression. Travelers, especially international visitors, rely heavily on confirmed bookings and clear communication, and this experience fell far below reasonable expectations.</t>
  </si>
  <si>
    <t>2026-02-07T05:31:26.084Z</t>
  </si>
  <si>
    <t>Doctor Umer Kamran</t>
  </si>
  <si>
    <t>Terrible experience. The staff’s behavior was rude, dismissive, and highly unprofessional today. The service quality was unacceptable for a medical workshop setting.
Management seriously needs to focus on hiring trained, educated and competent staff, as well as improving customer interaction and professionalism. Not recommended at all.
Terrible place to organize medical events. Please avoid going there if you don't want to interact with uneducated hotel staff that has 0 level of respect for the guests.</t>
  </si>
  <si>
    <t>2026-05-02T22:19:19.351Z</t>
  </si>
  <si>
    <t>Amin Nassim</t>
  </si>
  <si>
    <t>The stay was acceptable considering the price. But they must use new bed sheets, covers etc. but the staff are respectful. Thanks to Naveed Kashmiri and others.</t>
  </si>
  <si>
    <t>2026-01-17T11:01:38.546Z</t>
  </si>
  <si>
    <t>Bilal Khan</t>
  </si>
  <si>
    <t>We had bad experience because we were there to attend an event, as we reached so it was early so they said you should go to main lobby, when we reached there so they ignored us and not allowed to wait in lobby then we spent around 1 hour and 30 minutes in car parking area. This is very bad</t>
  </si>
  <si>
    <t>2025-11-12T08:50:08.627Z</t>
  </si>
  <si>
    <t>Yasin J</t>
  </si>
  <si>
    <t>Update: I just checked the other negative reviews and it is confirmed that the hotel service has deteriorated. There are other recent reviews indicating bad behaviour of staff and not providing complementary water. Below is my review:
This is a so called Executive hotel. The staff at this location is disrespectful, un-courteous, and have derogatory attitude. I stayed here for one night. On the bedsheet some flower petals fell from my wife's rose bracelet (gajra) which we did not pickup, considering that these are just flower petals. However, the petals left a mark on the bedsheets.
Next morning, the front desk manager held us for 10 minutes at checkout, saying that they are waiting for the room service as there is an issue with the bedsheet. After few minutes a room  attendant showed up with the bedsheet in a bag. While I was on a phone call, he gave the bag to my wife saying that you can take it home and wash it with bleach and you guys can use it.
This is extremely perturbing, disrespectful, and condemnable behavior. Something, which according to them is washable, should never be handed to client with disrespectful remarks, especially in front of my other family members including our son who came in the morning and was sitting with us waiting for travel.
This is extremely disturbing and disgusting behavior that the staff at Flatties had showed. The best they could have done is charge an extra cleaning fee. I have traveled across the world and never encountered such behavior. The price Paid 17.5K was for a substandard service with a room that was not fully setup. As I came to Lahore after almost 10 years, I did not know much. Later, I learned from friends, there are better hotels at a much reasonable rate and better service.
This is not all. As the room was booked in advance, the front desk knew about our arrival but did nor prepare the room. They gave us the key card for a different room and the attendant checked us in a different room saying that the other room is not ready - you can come to front desk later to get the key to this new  room. They should have immediately brought the key new room.
Anyways, we got the key and left for a family engagement. By the time we came back late night, there was no complementary water and fruit basket. I called the front desk twice to get these after 15-20 minutes. At that late hour, the room service wanted to come in the room and place it. No sense, that this is not the time to fulfil their service which they did not do it earlier.
Also, something to note is that this so called executive hotel is not up to the executive standard.
- The hallway (corridors) to the rooms are extremely hot. They could have installed glass in archways and air-conditioned it for summer.
- It is a two story hotel (ground a first), there is no client and luggage elevator. Hence the hotel's top floor is not accessible for people with health problem - One will need to take stairs.
- Further, when we came back at night, the entire parking was empty, which means not many people were staying there.
This is not a popular hotel may be due to location. Perhaps because it is in high security red-zone and staying here could become a hassle.
With this kind of behavior and attitudes, certainly they will loose clients.</t>
  </si>
  <si>
    <t>2025-08-12T08:14:17.853Z</t>
  </si>
  <si>
    <t>Salman Tariq</t>
  </si>
  <si>
    <t>My recent stay at Faletti's Hotel in Lahore was a significant disappointment and certainly not worth the price. While it's an old hotel with some historical charm, it truly feels stuck in the past, lacking any of the amenities you'd expect for the premium cost.
The rooms are average at best, clean enough, but completely unremarkable and certainly not what you'd call luxurious or comfortable enough to justify the expense. Don't expect modern comforts like a spa, a swimming pool, or even an in-house cinema for entertainment; these simply don't exist here.
To make matters worse, the hi-tea was ridiculously overpriced and, frankly, tasted terrible. It's frustrating to pay so much for basic refreshments and be met with such poor quality. The overall service was also average, which again, is unacceptable given the rates charged.
In essence, Faletti's is an expensive, outdated hotel that fails to deliver on both modern amenities and value for money. There are far better options available in Lahore if you're looking for a comfortable stay that justifies its price tag. Save your money and look elsewhere.</t>
  </si>
  <si>
    <t>2025-09-06T09:48:26.251Z</t>
  </si>
  <si>
    <t>Talha Ahmed 1717</t>
  </si>
  <si>
    <t>Attended a wedding at ava gardens Hall ,Falettis, Last night.
Food was below average.
No timely buffet refilling.
Manager was ignoring the guests' requests and waiters were not even listening to bring a thing.
Pathetic!</t>
  </si>
  <si>
    <t>2025-10-26T14:26:22.963Z</t>
  </si>
  <si>
    <t>Maan TV</t>
  </si>
  <si>
    <t>Wedding food is not good</t>
  </si>
  <si>
    <t>2026-02-18T19:23:04.169Z</t>
  </si>
  <si>
    <t>Hotel One The Mall, Lahore</t>
  </si>
  <si>
    <t>105 A, G8XV+8P4 the Mall, Garhi Shahu, Lahore, 54000, Pakistan</t>
  </si>
  <si>
    <t>+92 341 2201111</t>
  </si>
  <si>
    <t>Muhammad Bilal</t>
  </si>
  <si>
    <t>Very bad experience.
The hotel staff was extremely rude and unprofessional. They have no manners and do not know how to deal with customers at all. There was zero respect, and the attitude was unacceptable.
In the hospitality industry, customer service is everything, but this hotel completely failed. I would never recommend this place to anyone.
Total waste of time and money.</t>
  </si>
  <si>
    <t>2026-02-09T04:38:36.508Z</t>
  </si>
  <si>
    <t>Agha Shoaib</t>
  </si>
  <si>
    <t>Pathetic, we had reservations made our flight got delayed we came late in the night and these money mongers gave our rooms away to make more money, gross and smelly small rooms as well. Never coming back here</t>
  </si>
  <si>
    <t>2026-01-15T20:31:03.994Z</t>
  </si>
  <si>
    <t>Dr Mazhar Muneer Khan Langah</t>
  </si>
  <si>
    <t>I lived in Twin exective room which neither include any chair for sitting or dining.LED was non functional first day.Hot water was initially not available and they turned on gyeser after complain.When i asked that as per website execrive twin room should include chairs the manager replaied that we currently have no rooms with chairs and table and now rooms just include beds and website is not updated as per statement by manager</t>
  </si>
  <si>
    <t>2025-12-10T14:39:35.971Z</t>
  </si>
  <si>
    <t>Local Painters</t>
  </si>
  <si>
    <t>"Hi Hotel One on the Mall, I'm writing to express my disappointment with the service we received from your receptionist today. My wife, who's from Lahore, Pakistan, and I, an Australian citizen, arrived at the agreed check-in time, but were refused accommodation allegedly because we're from Pakistan. This behavior is unacceptable, especially for an overseas Pakistani like myself. I'll be sharing my experience on review platforms and reporting it to booking.com."</t>
  </si>
  <si>
    <t>2025-11-12T17:43:04.328Z</t>
  </si>
  <si>
    <t>Ali Raza</t>
  </si>
  <si>
    <t>Not recommend for human stay. Rooms at ground floor are badly smelled and very dirty. Bed Sheets was not clean. Very pathetic condition. It is shameful for Hotel Management for offering such pathetic rooms to their regular client.</t>
  </si>
  <si>
    <t>2025-09-17T13:23:13.580Z</t>
  </si>
  <si>
    <t>Amjad Ali</t>
  </si>
  <si>
    <t>I had a disappointing stay at Hotel One. The rooms were uncomfortably small, and the shower area in the bathroom was incredibly tiny, making it difficult to even turn around. Furthermore, the paint on the walls was peeling off, visible even when I opened the door. Overall, my experience was subpar and not up to my expectations. Not recommended.</t>
  </si>
  <si>
    <t>2024-08-29T03:56:17.342Z</t>
  </si>
  <si>
    <t>Shahzeb Siddiqui</t>
  </si>
  <si>
    <t>My experience at this hotel was very bad because it was really not that clean. The cups were dirty, the cattle was dirty and had hair in it which I thought was disgusting. The room and everything in it should be clean before new guest(s) arrives, but it was not like that. I think the staff does not care.
The toilet smelled really bad.
I made a big mistake that I booked this hotel. Me and my wife really did not like this hotel and a lot needs to be changed especially keeping the rooms clean and nice before the guest(s) arrives.
The breakfast was really bad, tasteless and had no taste whatsoever. My wife and I couldn't eat anything. I stayed for five days, but only ate breakfast once.
1/5.</t>
  </si>
  <si>
    <t>2023-02-20T18:10:15.716Z</t>
  </si>
  <si>
    <t>Mirha Ali</t>
  </si>
  <si>
    <t>The STAFF Is good , FOOD is well-done and the Ambiance is Oh My GoD soooo beautiful... Farhan and Amir staff members are Soo humble and good giving good services</t>
  </si>
  <si>
    <t>2025-09-12T08:40:21.725Z</t>
  </si>
  <si>
    <t>Ali Riaz</t>
  </si>
  <si>
    <t>I recently had the unfortunate experience of staying at Hotel One Mall Road, and it is with regret that I share my disappointment with the overall condition of the establishment. From poorly managed rooms to aging facilities, my stay left much to be desired.
I initially received a room on the ground floor, which, to my dismay, was in an even worse condition. After requesting a change, the new room presented only marginal improvements.
Upon entering my assigned room, I was immediately struck by the outdated air conditioning unit that not only made excessive noise but also failed to maintain a comfortable temperature. The washroom was no better, with an exhaust fan emitting a series of horrible noises throughout my stay. The carpets were visibly unclean, featuring numerous patches, and the overall lack of maintenance was evident in rusty lamps scattered around the room.
To make matters worse, an unpleasant sewage smell permeated both the rooms and the lobby, creating a thoroughly unpleasant atmosphere. Even the breakfast they served didn't have much variety. It was a bit boring, to be honest. These images highlight the subpar conditions and may serve as a cautionary reference for potential guests.
Overall, my stay at Hotel One Mall Road was a regrettable experience. The combination of poorly maintained rooms, noisy amenities, unclean carpets, and an unpleasant odor made for a less-than-ideal stay. I would strongly advise future visitors to consider alternative accommodations in the area.
P.S : The card for door opening was also out of order.</t>
  </si>
  <si>
    <t>2024-01-19T04:21:45.040Z</t>
  </si>
  <si>
    <t>Amjad Marwat</t>
  </si>
  <si>
    <t>Hotel needs renovation. There is smell in the room. Rooms are small and of old design with below average interior. Wash rooms just like rest of the things need repair work with complete renovation and change. It charges you lesser than the top tier hotels but still you don't get the value for money. Other branches of this chain of hotel are even far better than this one but this one located at prime location surprisingly is not doing justice.</t>
  </si>
  <si>
    <t>2018-02-21T18:41:49.262Z</t>
  </si>
  <si>
    <t>Faletti's Express - Shimla Hill</t>
  </si>
  <si>
    <t>ZAAMIN CENTRE, Shimla Hill, off Egerton Road, Muhammad Nagar Garhi Shahu, Lahore, 54000, Pakistan</t>
  </si>
  <si>
    <t>+92 342 4747471</t>
  </si>
  <si>
    <t>Bilal Tarar</t>
  </si>
  <si>
    <t>it was the worst expereience of my life. they charged me 10k extra without any reason and they were making lame excuses lije tge towell and bed sheet is not propey clean when we left the room and they demanded me to pay for them and i paid. Not recommended</t>
  </si>
  <si>
    <t>2026-03-17T18:23:10.162Z</t>
  </si>
  <si>
    <t>Hajira Noreen</t>
  </si>
  <si>
    <t>I visited this place for my farewell, and I had a very bad experience. When we left our bags there to go for food, money was taken from them. The staff behaved very unprofessionally.</t>
  </si>
  <si>
    <t>2026-05-23T08:07:21.730Z</t>
  </si>
  <si>
    <t>Humza Shahid</t>
  </si>
  <si>
    <t>My stay's excellent in faletti's Hotel
&amp; His house keeping staff very cooperative
(Abdullah)..…....
R.B</t>
  </si>
  <si>
    <t>2026-01-16T06:31:28.728Z</t>
  </si>
  <si>
    <t>Wajii Shah</t>
  </si>
  <si>
    <t>Falties Shimla Hotel Lahore has very poor management. The sales and reservations staff showed extremely unprofessional and rude behavior. My experience was highly disappointing, and the hotel needs serious improvement in its customer service standards.</t>
  </si>
  <si>
    <t>2025-11-22T12:28:35.734Z</t>
  </si>
  <si>
    <t>Umer Chudary</t>
  </si>
  <si>
    <t>Receptionists have no manners how to talk with clients.also food not good.very disappointing stay in there.highly recommended to everyone don’t stay here.chose any other option.thankuuu</t>
  </si>
  <si>
    <t>2026-01-16T11:46:51.065Z</t>
  </si>
  <si>
    <t>jamil clinic</t>
  </si>
  <si>
    <t>very bad experience. Today was our engagement function. very badly handled by staff . Manager Ahmad was extremely rude . highly disappointed by management. overall rating 1/1</t>
  </si>
  <si>
    <t>2026-03-29T17:48:33.572Z</t>
  </si>
  <si>
    <t>MUHAMMAD USMAN</t>
  </si>
  <si>
    <t>The service was terrible. The toilet and shower had drainage issues, and despite calling five times, it took a long time before anyone came to fix them. The room was not clean—our suite’s floor was sticky, and the corners looked like they had never been cleaned. The food was just as bad: extremely oily, and the omelet had a strange fishy taste that made me almost throw up. They offered to make a new omelet, but my appetite was already gone. There were no forks or spoons at the table, the naan was dry, and the dishes looked stained and old. Overall, a very unpleasant and unhygienic experience.</t>
  </si>
  <si>
    <t>2025-08-19T07:50:33.545Z</t>
  </si>
  <si>
    <t>Saad Qureshi</t>
  </si>
  <si>
    <t>A terrible experience that could have caused some serious trouble. A room was booked for my cousin by his company for three days (along with two other persons of same company but different cities) who was coming from other city, I picked him from bus terminal and we went into the hotel together. The person at the reception checked the booking and gave him the key to the room. We went there, opened the room and placed his luggage. We can see the luggage of other people already there but they were not present as their meeting was ongoing. My cousin rushed to the meeting and asked me to wait in the room until they come back. While waiting there, someone opened the door and was shocked to see me sitting there, he asked me who I am and how I entered the room, I told him that I'm visiting my cousin as a guest who is living in this room. He got furious and claimed that this room is booked by us along with six other rooms and the hockey team of one of the government department is living there. They went to play a hockey match and now they are on their way back. I'm their security guard and I was casually checking all the rooms. They have their perosnal and expensive belongings and you'll be responsible if anything goes missing. The funny thing is, he started threatening me that he is a high grade officer and has his rifle with him and and if he got furious he'll do this and this with you 🤷🏻 I tried to make him understand that I can only enter the room if I have the key and the management provided me the key so how I'm responsible for all that!
Well, we made the call at the reception and two men came to the room and were confused too after seeing all this. Then they called the manager and upon his arrival and investigating the receptionist, it came out that they mistakenly sent us to the wrong room (even they sent a person with us who took us to the room and our luggage). Meanwhile, the government officials who were staying there also arrived, the good thing is they didn't misbehaved with us and understood what actually happened. Their concern was genuine as anyone will get angry upon seeing a random person in their room with all their stuff present in it. Shukar Allah ka that this room was not belonged to any female otherwise the consequences could have been different 😅</t>
  </si>
  <si>
    <t>2025-02-20T06:01:35.866Z</t>
  </si>
  <si>
    <t>jutt life production</t>
  </si>
  <si>
    <t>Very bad manners staff specialy mr harjot.he did money scam with me during final billing.after realising about scam he didn't return money.</t>
  </si>
  <si>
    <t>2026-01-16T11:40:01.134Z</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</si>
</sst>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rgb="FF0000FF"/>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8"/>
  <sheetViews>
    <sheetView tabSelected="1" workbookViewId="0"/>
  </sheetViews>
  <sheetFormatPr defaultRowHeight="15"/>
  <cols>
    <col min="1" max="1" width="34.7109375" customWidth="1"/>
    <col min="2" max="2" width="100.7109375" customWidth="1"/>
    <col min="3" max="3" width="21.7109375" customWidth="1"/>
    <col min="4" max="4" width="20.7109375" customWidth="1"/>
    <col min="5" max="5" width="18.7109375" customWidth="1"/>
    <col min="6" max="6" width="31.7109375" customWidth="1"/>
    <col min="7" max="7" width="15.7109375" customWidth="1"/>
    <col min="8" max="8" width="3286.7109375" customWidth="1"/>
    <col min="9" max="9" width="27.7109375" customWidth="1"/>
    <col min="10" max="10" width="14.7109375" customWidth="1"/>
    <col min="11" max="11" width="21.7109375" customWidth="1"/>
  </cols>
  <sheetData>
    <row r="1" spans="1:11" ht="26" customHeight="1">
      <c r="A1" s="1" t="s">
        <v>0</v>
      </c>
      <c r="B1" s="1" t="s">
        <v>1</v>
      </c>
      <c r="C1" s="1" t="s">
        <v>2</v>
      </c>
      <c r="D1" s="1" t="s">
        <v>3</v>
      </c>
      <c r="E1" s="1" t="s">
        <v>4</v>
      </c>
      <c r="F1" s="1" t="s">
        <v>5</v>
      </c>
      <c r="G1" s="1" t="s">
        <v>6</v>
      </c>
      <c r="H1" s="1" t="s">
        <v>7</v>
      </c>
      <c r="I1" s="1" t="s">
        <v>8</v>
      </c>
      <c r="J1" s="1" t="s">
        <v>9</v>
      </c>
      <c r="K1" s="1" t="s">
        <v>10</v>
      </c>
    </row>
    <row r="2" spans="1:11" ht="20" customHeight="1">
      <c r="A2" s="2" t="s">
        <v>11</v>
      </c>
      <c r="B2" s="2" t="s">
        <v>12</v>
      </c>
      <c r="C2" s="2" t="s">
        <v>13</v>
      </c>
      <c r="D2" s="2" t="s">
        <v>14</v>
      </c>
      <c r="E2" s="3">
        <v>4.4</v>
      </c>
      <c r="F2" s="4" t="s">
        <v>15</v>
      </c>
      <c r="G2" s="3">
        <v>1</v>
      </c>
      <c r="H2" s="2" t="s">
        <v>16</v>
      </c>
      <c r="I2" s="3" t="s">
        <v>17</v>
      </c>
      <c r="J2" s="5" t="str">
        <f>HYPERLINK("https://www.google.com/maps/reviews/data=!4m8!14m7!1m6!2m5!1sCi9DQUlRQUNvZENodHljRjlvT25WbFdVcFVPQzF3WjJvMVFUTm1YM3BwYVVNeFUwRRAB!2m1!1s0x0:0xd70a28b88f7720d7!3m1!1s2@1:CAIQACodChtycF9oOnVlWUpUOC1wZ2o1QTNmX3ppaUMxU0E%7C%7C?hl=en", "View Link")</f>
        <v>View Link</v>
      </c>
      <c r="K2" s="5">
        <f>HYPERLINK("https://www.google.com/maps/search/?api=1&amp;query=Pearl%20Continental%20Hotel%2C%20Lahore&amp;query_place_id=ChIJ6adtYMgEGTkR1yB3j7goCtc", "Open Map")</f>
        <v>0</v>
      </c>
    </row>
    <row r="3" spans="1:11" ht="20" customHeight="1">
      <c r="A3" s="2"/>
      <c r="B3" s="2"/>
      <c r="C3" s="2"/>
      <c r="D3" s="2"/>
      <c r="E3" s="3"/>
      <c r="F3" s="4" t="s">
        <v>18</v>
      </c>
      <c r="G3" s="3">
        <v>1</v>
      </c>
      <c r="H3" s="2" t="s">
        <v>19</v>
      </c>
      <c r="I3" s="3" t="s">
        <v>20</v>
      </c>
      <c r="J3" s="5" t="str">
        <f>HYPERLINK("https://www.google.com/maps/reviews/data=!4m8!14m7!1m6!2m5!1sCi9DQUlRQUNvZENodHljRjlvT21oeUxUSmxWVGRSUVRsek9GOXRVMU5EZVRRelgzYxAB!2m1!1s0x0:0xd70a28b88f7720d7!3m1!1s2@1:CAIQACodChtycF9oOmhyLTJlVTdRQTlzOF9tU1NDeTQzX3c%7C%7C?hl=en", "View Link")</f>
        <v>View Link</v>
      </c>
      <c r="K3" s="5"/>
    </row>
    <row r="4" spans="1:11" ht="20" customHeight="1">
      <c r="A4" s="2"/>
      <c r="B4" s="2"/>
      <c r="C4" s="2"/>
      <c r="D4" s="2"/>
      <c r="E4" s="3"/>
      <c r="F4" s="4" t="s">
        <v>21</v>
      </c>
      <c r="G4" s="3">
        <v>1</v>
      </c>
      <c r="H4" s="2" t="s">
        <v>22</v>
      </c>
      <c r="I4" s="3" t="s">
        <v>23</v>
      </c>
      <c r="J4" s="5" t="str">
        <f>HYPERLINK("https://www.google.com/maps/reviews/data=!4m8!14m7!1m6!2m5!1sCi9DQUlRQUNvZENodHljRjlvT2tsVGNsWllWVkJLV1hKbGNuUlVUakZuV0dKaFVGRRAB!2m1!1s0x0:0xd70a28b88f7720d7!3m1!1s2@1:CAIQACodChtycF9oOklTclZYVVBKWXJlcnRUTjFnWGJhUFE%7C%7C?hl=en", "View Link")</f>
        <v>View Link</v>
      </c>
      <c r="K4" s="5"/>
    </row>
    <row r="5" spans="1:11" ht="20" customHeight="1">
      <c r="A5" s="2"/>
      <c r="B5" s="2"/>
      <c r="C5" s="2"/>
      <c r="D5" s="2"/>
      <c r="E5" s="3"/>
      <c r="F5" s="4" t="s">
        <v>24</v>
      </c>
      <c r="G5" s="3">
        <v>1</v>
      </c>
      <c r="H5" s="2" t="s">
        <v>25</v>
      </c>
      <c r="I5" s="3" t="s">
        <v>26</v>
      </c>
      <c r="J5" s="5" t="str">
        <f>HYPERLINK("https://www.google.com/maps/reviews/data=!4m8!14m7!1m6!2m5!1sCi9DQUlRQUNvZENodHljRjlvT2pJMlExZHJiM2hVZW10Q1FtNDJWVzF6U1ZONWMxRRAB!2m1!1s0x0:0xd70a28b88f7720d7!3m1!1s2@1:CAIQACodChtycF9oOjI2Q1drb3hUemtCQm42VW1zSVN5c1E%7C%7C?hl=en", "View Link")</f>
        <v>View Link</v>
      </c>
      <c r="K5" s="5"/>
    </row>
    <row r="6" spans="1:11" ht="20" customHeight="1">
      <c r="A6" s="2"/>
      <c r="B6" s="2"/>
      <c r="C6" s="2"/>
      <c r="D6" s="2"/>
      <c r="E6" s="3"/>
      <c r="F6" s="4" t="s">
        <v>27</v>
      </c>
      <c r="G6" s="3">
        <v>1</v>
      </c>
      <c r="H6" s="2" t="s">
        <v>28</v>
      </c>
      <c r="I6" s="3" t="s">
        <v>29</v>
      </c>
      <c r="J6" s="5" t="str">
        <f>HYPERLINK("https://www.google.com/maps/reviews/data=!4m8!14m7!1m6!2m5!1sCi9DQUlRQUNvZENodHljRjlvT2xSdWNGWmFkRU5KZHpCd05rNHlOMncxU1dWTGFYYxAB!2m1!1s0x0:0xd70a28b88f7720d7!3m1!1s2@1:CAIQACodChtycF9oOlRucFZadENJdzBwNk4yN2w1SWVLaXc%7C%7C?hl=en", "View Link")</f>
        <v>View Link</v>
      </c>
      <c r="K6" s="5"/>
    </row>
    <row r="7" spans="1:11" ht="20" customHeight="1">
      <c r="A7" s="2"/>
      <c r="B7" s="2"/>
      <c r="C7" s="2"/>
      <c r="D7" s="2"/>
      <c r="E7" s="3"/>
      <c r="F7" s="4" t="s">
        <v>30</v>
      </c>
      <c r="G7" s="3">
        <v>1</v>
      </c>
      <c r="H7" s="2" t="s">
        <v>31</v>
      </c>
      <c r="I7" s="3" t="s">
        <v>32</v>
      </c>
      <c r="J7" s="5" t="str">
        <f>HYPERLINK("https://www.google.com/maps/reviews/data=!4m8!14m7!1m6!2m5!1sCi9DQUlRQUNvZENodHljRjlvT2tSa1ozRTNVRXhuVlZJeFVWSkNkbWQwVjBWU05IYxAB!2m1!1s0x0:0xd70a28b88f7720d7!3m1!1s2@1:CAIQACodChtycF9oOkRkZ3E3UExnVVIxUVJCdmd0V0VSNHc%7C%7C?hl=en", "View Link")</f>
        <v>View Link</v>
      </c>
      <c r="K7" s="5"/>
    </row>
    <row r="8" spans="1:11" ht="20" customHeight="1">
      <c r="A8" s="2"/>
      <c r="B8" s="2"/>
      <c r="C8" s="2"/>
      <c r="D8" s="2"/>
      <c r="E8" s="3"/>
      <c r="F8" s="4" t="s">
        <v>33</v>
      </c>
      <c r="G8" s="3">
        <v>1</v>
      </c>
      <c r="H8" s="2" t="s">
        <v>34</v>
      </c>
      <c r="I8" s="3" t="s">
        <v>35</v>
      </c>
      <c r="J8" s="5" t="str">
        <f>HYPERLINK("https://www.google.com/maps/reviews/data=!4m8!14m7!1m6!2m5!1sCi9DQUlRQUNvZENodHljRjlvT2twRlgzbGhiMEoxZEVGSlJuZ3RkbVZqTVd0bFNuYxAB!2m1!1s0x0:0xd70a28b88f7720d7!3m1!1s2@1:CAIQACodChtycF9oOkpFX3lhb0J1dEFJRngtdmVjMWtlSnc%7C%7C?hl=en", "View Link")</f>
        <v>View Link</v>
      </c>
      <c r="K8" s="5"/>
    </row>
    <row r="9" spans="1:11" ht="20" customHeight="1">
      <c r="A9" s="2"/>
      <c r="B9" s="2"/>
      <c r="C9" s="2"/>
      <c r="D9" s="2"/>
      <c r="E9" s="3"/>
      <c r="F9" s="4" t="s">
        <v>36</v>
      </c>
      <c r="G9" s="3">
        <v>1</v>
      </c>
      <c r="H9" s="2" t="s">
        <v>37</v>
      </c>
      <c r="I9" s="3" t="s">
        <v>38</v>
      </c>
      <c r="J9" s="5" t="str">
        <f>HYPERLINK("https://www.google.com/maps/reviews/data=!4m8!14m7!1m6!2m5!1sCi9DQUlRQUNvZENodHljRjlvT2tsb2JFcGhhalF3WkhSbWQyVmFTRzFCWm5kMVltYxAB!2m1!1s0x0:0xd70a28b88f7720d7!3m1!1s2@1:CAIQACodChtycF9oOklobEphajQwZHRmd2VaSG1BZnd1Ymc%7C%7C?hl=en", "View Link")</f>
        <v>View Link</v>
      </c>
      <c r="K9" s="5"/>
    </row>
    <row r="10" spans="1:11" ht="20" customHeight="1">
      <c r="A10" s="2"/>
      <c r="B10" s="2"/>
      <c r="C10" s="2"/>
      <c r="D10" s="2"/>
      <c r="E10" s="3"/>
      <c r="F10" s="4" t="s">
        <v>39</v>
      </c>
      <c r="G10" s="3">
        <v>1</v>
      </c>
      <c r="H10" s="2" t="s">
        <v>40</v>
      </c>
      <c r="I10" s="3" t="s">
        <v>41</v>
      </c>
      <c r="J10" s="5" t="str">
        <f>HYPERLINK("https://www.google.com/maps/reviews/data=!4m8!14m7!1m6!2m5!1sCi9DQUlRQUNvZENodHljRjlvT21wMVZEQk1PVEpMYjJaQlgwUlBPR3hEVlZSQk9YYxAB!2m1!1s0x0:0xd70a28b88f7720d7!3m1!1s2@1:CAIQACodChtycF9oOmp1VDBMOTJLb2ZBX0RPOGxDVVRBOXc%7C%7C?hl=en", "View Link")</f>
        <v>View Link</v>
      </c>
      <c r="K10" s="5"/>
    </row>
    <row r="11" spans="1:11" ht="20" customHeight="1">
      <c r="A11" s="2" t="s">
        <v>42</v>
      </c>
      <c r="B11" s="2" t="s">
        <v>43</v>
      </c>
      <c r="C11" s="2" t="s">
        <v>44</v>
      </c>
      <c r="D11" s="2" t="s">
        <v>45</v>
      </c>
      <c r="E11" s="3">
        <v>4.3</v>
      </c>
      <c r="F11" s="4" t="s">
        <v>46</v>
      </c>
      <c r="G11" s="3">
        <v>1</v>
      </c>
      <c r="H11" s="2" t="s">
        <v>47</v>
      </c>
      <c r="I11" s="3" t="s">
        <v>48</v>
      </c>
      <c r="J11" s="5" t="str">
        <f>HYPERLINK("https://www.google.com/maps/reviews/data=!4m8!14m7!1m6!2m5!1sCi9DQUlRQUNvZENodHljRjlvT25WWWVHVm9kVUpNUjNNdFFYaHpaMGxHU25kbU9FRRAB!2m1!1s0x0:0x1f8ab0dc94f91a6d!3m1!1s2@1:CAIQACodChtycF9oOnVYeGVodUJMR3MtQXhzZ0lGSndmOEE%7C%7C?hl=en", "View Link")</f>
        <v>View Link</v>
      </c>
      <c r="K11" s="5">
        <f>HYPERLINK("https://www.google.com/maps/search/?api=1&amp;query=Four%20Points%20by%20Sheraton%20Lahore&amp;query_place_id=ChIJVz2ZVEsbGTkRbRr5lNywih8", "Open Map")</f>
        <v>0</v>
      </c>
    </row>
    <row r="12" spans="1:11" ht="20" customHeight="1">
      <c r="A12" s="2"/>
      <c r="B12" s="2"/>
      <c r="C12" s="2"/>
      <c r="D12" s="2"/>
      <c r="E12" s="3"/>
      <c r="F12" s="4" t="s">
        <v>49</v>
      </c>
      <c r="G12" s="3">
        <v>1</v>
      </c>
      <c r="H12" s="2" t="s">
        <v>50</v>
      </c>
      <c r="I12" s="3" t="s">
        <v>51</v>
      </c>
      <c r="J12" s="5" t="str">
        <f>HYPERLINK("https://www.google.com/maps/reviews/data=!4m8!14m7!1m6!2m5!1sCi9DQUlRQUNvZENodHljRjlvT21OTFYzZENRMlJtUWw5RGJXWkZlbE5UTURGS1MwRRAB!2m1!1s0x0:0x1f8ab0dc94f91a6d!3m1!1s2@1:CAIQACodChtycF9oOmNLV3dCQ2RmQl9DbWZFelNTMDFKS0E%7C%7C?hl=en", "View Link")</f>
        <v>View Link</v>
      </c>
      <c r="K12" s="5"/>
    </row>
    <row r="13" spans="1:11" ht="20" customHeight="1">
      <c r="A13" s="2"/>
      <c r="B13" s="2"/>
      <c r="C13" s="2"/>
      <c r="D13" s="2"/>
      <c r="E13" s="3"/>
      <c r="F13" s="4" t="s">
        <v>52</v>
      </c>
      <c r="G13" s="3">
        <v>1</v>
      </c>
      <c r="H13" s="2" t="s">
        <v>53</v>
      </c>
      <c r="I13" s="3" t="s">
        <v>54</v>
      </c>
      <c r="J13" s="5" t="str">
        <f>HYPERLINK("https://www.google.com/maps/reviews/data=!4m8!14m7!1m6!2m5!1sCi9DQUlRQUNvZENodHljRjlvT2xoM1VFeE1WMFJ4TFVzdGVuZFZPV2hIUlRWRFdrRRAB!2m1!1s0x0:0x1f8ab0dc94f91a6d!3m1!1s2@1:CAIQACodChtycF9oOlh3UExMV0RxLUstendVOWhHRTVDWkE%7C%7C?hl=en", "View Link")</f>
        <v>View Link</v>
      </c>
      <c r="K13" s="5"/>
    </row>
    <row r="14" spans="1:11" ht="20" customHeight="1">
      <c r="A14" s="2"/>
      <c r="B14" s="2"/>
      <c r="C14" s="2"/>
      <c r="D14" s="2"/>
      <c r="E14" s="3"/>
      <c r="F14" s="4" t="s">
        <v>55</v>
      </c>
      <c r="G14" s="3">
        <v>1</v>
      </c>
      <c r="H14" s="2" t="s">
        <v>56</v>
      </c>
      <c r="I14" s="3" t="s">
        <v>57</v>
      </c>
      <c r="J14" s="5" t="str">
        <f>HYPERLINK("https://www.google.com/maps/reviews/data=!4m8!14m7!1m6!2m5!1sCi9DQUlRQUNvZENodHljRjlvT2psVFNUUXpPWGwyYkdOdlJsbE1OMGw0YVhCaWFsRRAB!2m1!1s0x0:0x1f8ab0dc94f91a6d!3m1!1s2@1:CAIQACodChtycF9oOjlTSTQzOXl2bGNvRllMN0l4aXBialE%7C%7C?hl=en", "View Link")</f>
        <v>View Link</v>
      </c>
      <c r="K14" s="5"/>
    </row>
    <row r="15" spans="1:11" ht="20" customHeight="1">
      <c r="A15" s="2"/>
      <c r="B15" s="2"/>
      <c r="C15" s="2"/>
      <c r="D15" s="2"/>
      <c r="E15" s="3"/>
      <c r="F15" s="4" t="s">
        <v>58</v>
      </c>
      <c r="G15" s="3">
        <v>1</v>
      </c>
      <c r="H15" s="2" t="s">
        <v>59</v>
      </c>
      <c r="I15" s="3" t="s">
        <v>60</v>
      </c>
      <c r="J15" s="5" t="str">
        <f>HYPERLINK("https://www.google.com/maps/reviews/data=!4m8!14m7!1m6!2m5!1sCi9DQUlRQUNvZENodHljRjlvT2tKT2FVdzVPSE42TjJobVVFdHNNbWN6VWxCamRYYxAB!2m1!1s0x0:0x1f8ab0dc94f91a6d!3m1!1s2@1:CAIQACodChtycF9oOkJOaUw5OHN6N2hmUEtsMmczUlBjdXc%7C%7C?hl=en", "View Link")</f>
        <v>View Link</v>
      </c>
      <c r="K15" s="5"/>
    </row>
    <row r="16" spans="1:11" ht="20" customHeight="1">
      <c r="A16" s="2"/>
      <c r="B16" s="2"/>
      <c r="C16" s="2"/>
      <c r="D16" s="2"/>
      <c r="E16" s="3"/>
      <c r="F16" s="4" t="s">
        <v>61</v>
      </c>
      <c r="G16" s="3">
        <v>1</v>
      </c>
      <c r="H16" s="2" t="s">
        <v>62</v>
      </c>
      <c r="I16" s="3" t="s">
        <v>63</v>
      </c>
      <c r="J16" s="5" t="str">
        <f>HYPERLINK("https://www.google.com/maps/reviews/data=!4m8!14m7!1m6!2m5!1sCi9DQUlRQUNvZENodHljRjlvT2pkMU1GOU1ZM0F0WTBST2EwbFNhVEJCWVdob2FsRRAB!2m1!1s0x0:0x1f8ab0dc94f91a6d!3m1!1s2@1:CAIQACodChtycF9oOjd1MF9MY3AtY0ROa0lSaTBBYWhoalE%7C%7C?hl=en", "View Link")</f>
        <v>View Link</v>
      </c>
      <c r="K16" s="5"/>
    </row>
    <row r="17" spans="1:11" ht="20" customHeight="1">
      <c r="A17" s="2"/>
      <c r="B17" s="2"/>
      <c r="C17" s="2"/>
      <c r="D17" s="2"/>
      <c r="E17" s="3"/>
      <c r="F17" s="4" t="s">
        <v>64</v>
      </c>
      <c r="G17" s="3">
        <v>1</v>
      </c>
      <c r="H17" s="2" t="s">
        <v>65</v>
      </c>
      <c r="I17" s="3" t="s">
        <v>66</v>
      </c>
      <c r="J17" s="5" t="str">
        <f>HYPERLINK("https://www.google.com/maps/reviews/data=!4m8!14m7!1m6!2m5!1sCi9DQUlRQUNvZENodHljRjlvT2trek5tSkljR2hQUWtsbGNsZElSbU5MV1RNM2QyYxAB!2m1!1s0x0:0x1f8ab0dc94f91a6d!3m1!1s2@1:CAIQACodChtycF9oOkkzNmJIcGhPQkllcldIRmNLWTM3d2c%7C%7C?hl=en", "View Link")</f>
        <v>View Link</v>
      </c>
      <c r="K17" s="5"/>
    </row>
    <row r="18" spans="1:11" ht="20" customHeight="1">
      <c r="A18" s="2"/>
      <c r="B18" s="2"/>
      <c r="C18" s="2"/>
      <c r="D18" s="2"/>
      <c r="E18" s="3"/>
      <c r="F18" s="4" t="s">
        <v>67</v>
      </c>
      <c r="G18" s="3">
        <v>1</v>
      </c>
      <c r="H18" s="2" t="s">
        <v>68</v>
      </c>
      <c r="I18" s="3" t="s">
        <v>69</v>
      </c>
      <c r="J18" s="5" t="str">
        <f>HYPERLINK("https://www.google.com/maps/reviews/data=!4m8!14m7!1m6!2m5!1sCi9DQUlRQUNvZENodHljRjlvT2xsU1pHWk1RVkJ1Tmt0R09GVXhiMjlLU2poclozYxAB!2m1!1s0x0:0x1f8ab0dc94f91a6d!3m1!1s2@1:CAIQACodChtycF9oOllSZGZMQVBuNktGOFUxb29KSjhrZ3c%7C%7C?hl=en", "View Link")</f>
        <v>View Link</v>
      </c>
      <c r="K18" s="5"/>
    </row>
    <row r="19" spans="1:11" ht="20" customHeight="1">
      <c r="A19" s="2"/>
      <c r="B19" s="2"/>
      <c r="C19" s="2"/>
      <c r="D19" s="2"/>
      <c r="E19" s="3"/>
      <c r="F19" s="4" t="s">
        <v>70</v>
      </c>
      <c r="G19" s="3">
        <v>1</v>
      </c>
      <c r="H19" s="2" t="s">
        <v>71</v>
      </c>
      <c r="I19" s="3" t="s">
        <v>72</v>
      </c>
      <c r="J19" s="5" t="str">
        <f>HYPERLINK("https://www.google.com/maps/reviews/data=!4m8!14m7!1m6!2m5!1sCi9DQUlRQUNvZENodHljRjlvT2sxNmNVWkNkemhUTUUxcmNYZGFkRTFtUTI1U1lrRRAB!2m1!1s0x0:0x1f8ab0dc94f91a6d!3m1!1s2@1:CAIQACodChtycF9oOk16cUZCdzhTME1rcXdadE1mQ25SYkE%7C%7C?hl=en", "View Link")</f>
        <v>View Link</v>
      </c>
      <c r="K19" s="5"/>
    </row>
    <row r="20" spans="1:11" ht="20" customHeight="1">
      <c r="A20" s="2"/>
      <c r="B20" s="2"/>
      <c r="C20" s="2"/>
      <c r="D20" s="2"/>
      <c r="E20" s="3"/>
      <c r="F20" s="4" t="s">
        <v>73</v>
      </c>
      <c r="G20" s="3">
        <v>1</v>
      </c>
      <c r="H20" s="2" t="s">
        <v>74</v>
      </c>
      <c r="I20" s="3" t="s">
        <v>75</v>
      </c>
      <c r="J20" s="5" t="str">
        <f>HYPERLINK("https://www.google.com/maps/reviews/data=!4m8!14m7!1m6!2m5!1sChZDSUhNMG9nS0VJQ0FnTUNncWZLUkR3EAE!2m1!1s0x0:0x1f8ab0dc94f91a6d!3m1!1s2@1:CIHM0ogKEICAgMCgqfKRDw%7C%7C?hl=en", "View Link")</f>
        <v>View Link</v>
      </c>
      <c r="K20" s="5"/>
    </row>
    <row r="21" spans="1:11" ht="20" customHeight="1">
      <c r="A21" s="2" t="s">
        <v>76</v>
      </c>
      <c r="B21" s="2" t="s">
        <v>77</v>
      </c>
      <c r="C21" s="2" t="s">
        <v>78</v>
      </c>
      <c r="D21" s="2" t="s">
        <v>79</v>
      </c>
      <c r="E21" s="3">
        <v>4.1</v>
      </c>
      <c r="F21" s="4" t="s">
        <v>80</v>
      </c>
      <c r="G21" s="3">
        <v>1</v>
      </c>
      <c r="H21" s="2" t="s">
        <v>81</v>
      </c>
      <c r="I21" s="3" t="s">
        <v>82</v>
      </c>
      <c r="J21" s="5" t="str">
        <f>HYPERLINK("https://www.google.com/maps/reviews/data=!4m8!14m7!1m6!2m5!1sCi9DQUlRQUNvZENodHljRjlvT21GUFJUQlhaVXR2VERKVlNrSlpiRXBwVkRaVk0yYxAB!2m1!1s0x0:0x66f8240140b2ca6!3m1!1s2@1:CAIQACodChtycF9oOmFPRTBXZUtvTDJVSkJZbEppVDZVM2c%7C%7C?hl=en", "View Link")</f>
        <v>View Link</v>
      </c>
      <c r="K21" s="5">
        <f>HYPERLINK("https://www.google.com/maps/search/?api=1&amp;query=The%20Residency%20Hotel&amp;query_place_id=ChIJgXnPnecEGTkRpiwLFECCbwY", "Open Map")</f>
        <v>0</v>
      </c>
    </row>
    <row r="22" spans="1:11" ht="20" customHeight="1">
      <c r="A22" s="2"/>
      <c r="B22" s="2"/>
      <c r="C22" s="2"/>
      <c r="D22" s="2"/>
      <c r="E22" s="3"/>
      <c r="F22" s="4" t="s">
        <v>83</v>
      </c>
      <c r="G22" s="3">
        <v>1</v>
      </c>
      <c r="H22" s="2" t="s">
        <v>84</v>
      </c>
      <c r="I22" s="3" t="s">
        <v>85</v>
      </c>
      <c r="J22" s="5" t="str">
        <f>HYPERLINK("https://www.google.com/maps/reviews/data=!4m8!14m7!1m6!2m5!1sCi9DQUlRQUNvZENodHljRjlvT21SSVJXcDBMVnBUUnpOMk16aHBVRU5QWHpodVRuYxAB!2m1!1s0x0:0x66f8240140b2ca6!3m1!1s2@1:CAIQACodChtycF9oOmRIRWp0LVpTRzN2MzhpUENPXzhuTnc%7C%7C?hl=en", "View Link")</f>
        <v>View Link</v>
      </c>
      <c r="K22" s="5"/>
    </row>
    <row r="23" spans="1:11" ht="20" customHeight="1">
      <c r="A23" s="2"/>
      <c r="B23" s="2"/>
      <c r="C23" s="2"/>
      <c r="D23" s="2"/>
      <c r="E23" s="3"/>
      <c r="F23" s="4" t="s">
        <v>86</v>
      </c>
      <c r="G23" s="3">
        <v>1</v>
      </c>
      <c r="H23" s="2" t="s">
        <v>87</v>
      </c>
      <c r="I23" s="3" t="s">
        <v>88</v>
      </c>
      <c r="J23" s="5" t="str">
        <f>HYPERLINK("https://www.google.com/maps/reviews/data=!4m8!14m7!1m6!2m5!1sCi9DQUlRQUNvZENodHljRjlvT25FdGIzcDRlRUpLVXpsTWNXcEdhRlUzWmtWNWVGRRAB!2m1!1s0x0:0x66f8240140b2ca6!3m1!1s2@1:CAIQACodChtycF9oOnEtb3p4eEJKUzlMcWpGaFU3ZkV5eFE%7C%7C?hl=en", "View Link")</f>
        <v>View Link</v>
      </c>
      <c r="K23" s="5"/>
    </row>
    <row r="24" spans="1:11" ht="20" customHeight="1">
      <c r="A24" s="2"/>
      <c r="B24" s="2"/>
      <c r="C24" s="2"/>
      <c r="D24" s="2"/>
      <c r="E24" s="3"/>
      <c r="F24" s="4" t="s">
        <v>89</v>
      </c>
      <c r="G24" s="3">
        <v>1</v>
      </c>
      <c r="H24" s="2" t="s">
        <v>90</v>
      </c>
      <c r="I24" s="3" t="s">
        <v>91</v>
      </c>
      <c r="J24" s="5" t="str">
        <f>HYPERLINK("https://www.google.com/maps/reviews/data=!4m8!14m7!1m6!2m5!1sCi9DQUlRQUNvZENodHljRjlvT21WRkxXdG5iMkpWVmxGb1lXRldSR1JpYkVGd2FGRRAB!2m1!1s0x0:0x66f8240140b2ca6!3m1!1s2@1:CAIQACodChtycF9oOmVFLWtnb2JVVlFoYWFWRGRibEFwaFE%7C%7C?hl=en", "View Link")</f>
        <v>View Link</v>
      </c>
      <c r="K24" s="5"/>
    </row>
    <row r="25" spans="1:11" ht="20" customHeight="1">
      <c r="A25" s="2"/>
      <c r="B25" s="2"/>
      <c r="C25" s="2"/>
      <c r="D25" s="2"/>
      <c r="E25" s="3"/>
      <c r="F25" s="4" t="s">
        <v>92</v>
      </c>
      <c r="G25" s="3">
        <v>1</v>
      </c>
      <c r="H25" s="2" t="s">
        <v>93</v>
      </c>
      <c r="I25" s="3" t="s">
        <v>94</v>
      </c>
      <c r="J25" s="5" t="str">
        <f>HYPERLINK("https://www.google.com/maps/reviews/data=!4m8!14m7!1m6!2m5!1sCi9DQUlRQUNvZENodHljRjlvT2xkTGNDMDRVbXBKU201clRqazRTMmQ0U2tOM1ZYYxAB!2m1!1s0x0:0x66f8240140b2ca6!3m1!1s2@1:CAIQACodChtycF9oOldLcC04UmpJSm5rTjk4S2d4SkN3VXc%7C%7C?hl=en", "View Link")</f>
        <v>View Link</v>
      </c>
      <c r="K25" s="5"/>
    </row>
    <row r="26" spans="1:11" ht="20" customHeight="1">
      <c r="A26" s="2"/>
      <c r="B26" s="2"/>
      <c r="C26" s="2"/>
      <c r="D26" s="2"/>
      <c r="E26" s="3"/>
      <c r="F26" s="4" t="s">
        <v>95</v>
      </c>
      <c r="G26" s="3">
        <v>1</v>
      </c>
      <c r="H26" s="2" t="s">
        <v>96</v>
      </c>
      <c r="I26" s="3" t="s">
        <v>97</v>
      </c>
      <c r="J26" s="5" t="str">
        <f>HYPERLINK("https://www.google.com/maps/reviews/data=!4m8!14m7!1m6!2m5!1sCi9DQUlRQUNvZENodHljRjlvT201clRrNXlWV0o2ZFd4R1duTmljMU5RYzJSdWJsRRAB!2m1!1s0x0:0x66f8240140b2ca6!3m1!1s2@1:CAIQACodChtycF9oOm5rTk5yVWJ6dWxGWnNic1NQc2RublE%7C%7C?hl=en", "View Link")</f>
        <v>View Link</v>
      </c>
      <c r="K26" s="5"/>
    </row>
    <row r="27" spans="1:11" ht="20" customHeight="1">
      <c r="A27" s="2"/>
      <c r="B27" s="2"/>
      <c r="C27" s="2"/>
      <c r="D27" s="2"/>
      <c r="E27" s="3"/>
      <c r="F27" s="4" t="s">
        <v>98</v>
      </c>
      <c r="G27" s="3">
        <v>1</v>
      </c>
      <c r="H27" s="2" t="s">
        <v>99</v>
      </c>
      <c r="I27" s="3" t="s">
        <v>100</v>
      </c>
      <c r="J27" s="5" t="str">
        <f>HYPERLINK("https://www.google.com/maps/reviews/data=!4m8!14m7!1m6!2m5!1sChZDSUhNMG9nS0VJQ0FnTUNvdWJYMUdBEAE!2m1!1s0x0:0x66f8240140b2ca6!3m1!1s2@1:CIHM0ogKEICAgMCoubX1GA%7C%7C?hl=en", "View Link")</f>
        <v>View Link</v>
      </c>
      <c r="K27" s="5"/>
    </row>
    <row r="28" spans="1:11" ht="20" customHeight="1">
      <c r="A28" s="2"/>
      <c r="B28" s="2"/>
      <c r="C28" s="2"/>
      <c r="D28" s="2"/>
      <c r="E28" s="3"/>
      <c r="F28" s="4" t="s">
        <v>101</v>
      </c>
      <c r="G28" s="3">
        <v>1</v>
      </c>
      <c r="H28" s="2" t="s">
        <v>102</v>
      </c>
      <c r="I28" s="3" t="s">
        <v>103</v>
      </c>
      <c r="J28" s="5" t="str">
        <f>HYPERLINK("https://www.google.com/maps/reviews/data=!4m8!14m7!1m6!2m5!1sChZDSUhNMG9nS0VJQ0FnSURyMk4tZUJnEAE!2m1!1s0x0:0x66f8240140b2ca6!3m1!1s2@1:CIHM0ogKEICAgIDr2N-eBg%7C%7C?hl=en", "View Link")</f>
        <v>View Link</v>
      </c>
      <c r="K28" s="5"/>
    </row>
    <row r="29" spans="1:11" ht="20" customHeight="1">
      <c r="A29" s="2"/>
      <c r="B29" s="2"/>
      <c r="C29" s="2"/>
      <c r="D29" s="2"/>
      <c r="E29" s="3"/>
      <c r="F29" s="4" t="s">
        <v>104</v>
      </c>
      <c r="G29" s="3">
        <v>1</v>
      </c>
      <c r="H29" s="2" t="s">
        <v>105</v>
      </c>
      <c r="I29" s="3" t="s">
        <v>106</v>
      </c>
      <c r="J29" s="5" t="str">
        <f>HYPERLINK("https://www.google.com/maps/reviews/data=!4m8!14m7!1m6!2m5!1sCi9DQUlRQUNvZENodHljRjlvT2tObFlrTTNSbEExYkZCYVJIZGhhRnBVVkdSS01HYxAB!2m1!1s0x0:0x66f8240140b2ca6!3m1!1s2@1:CAIQACodChtycF9oOkNlYkM3RlA1bFBaRHdhaFpUVGRKMGc%7C%7C?hl=en", "View Link")</f>
        <v>View Link</v>
      </c>
      <c r="K29" s="5"/>
    </row>
    <row r="30" spans="1:11" ht="20" customHeight="1">
      <c r="A30" s="2"/>
      <c r="B30" s="2"/>
      <c r="C30" s="2"/>
      <c r="D30" s="2"/>
      <c r="E30" s="3"/>
      <c r="F30" s="4" t="s">
        <v>107</v>
      </c>
      <c r="G30" s="3">
        <v>1</v>
      </c>
      <c r="H30" s="2" t="s">
        <v>108</v>
      </c>
      <c r="I30" s="3" t="s">
        <v>109</v>
      </c>
      <c r="J30" s="5" t="str">
        <f>HYPERLINK("https://www.google.com/maps/reviews/data=!4m8!14m7!1m6!2m5!1sChZDSUhNMG9nS0VJQ0FnSUNsaGJfUWZREAE!2m1!1s0x0:0x66f8240140b2ca6!3m1!1s2@1:CIHM0ogKEICAgIClhb_QfQ%7C%7C?hl=en", "View Link")</f>
        <v>View Link</v>
      </c>
      <c r="K30" s="5"/>
    </row>
    <row r="31" spans="1:11" ht="20" customHeight="1">
      <c r="A31" s="2" t="s">
        <v>110</v>
      </c>
      <c r="B31" s="2" t="s">
        <v>111</v>
      </c>
      <c r="C31" s="2" t="s">
        <v>112</v>
      </c>
      <c r="D31" s="2" t="s">
        <v>113</v>
      </c>
      <c r="E31" s="3">
        <v>4.3</v>
      </c>
      <c r="F31" s="4" t="s">
        <v>114</v>
      </c>
      <c r="G31" s="3">
        <v>1</v>
      </c>
      <c r="H31" s="2" t="s">
        <v>115</v>
      </c>
      <c r="I31" s="3" t="s">
        <v>116</v>
      </c>
      <c r="J31" s="5" t="str">
        <f>HYPERLINK("https://www.google.com/maps/reviews/data=!4m8!14m7!1m6!2m5!1sCi9DQUlRQUNvZENodHljRjlvT2tOcVF6SXRjemRUYVdWNlQzTXpjbFZHYnkxbFQzYxAB!2m1!1s0x0:0xd43a04f03d30963f!3m1!1s2@1:CAIQACodChtycF9oOkNqQzItczdTaWV6T3MzclVGby1lT3c%7C%7C?hl=en", "View Link")</f>
        <v>View Link</v>
      </c>
      <c r="K31" s="5">
        <f>HYPERLINK("https://www.google.com/maps/search/?api=1&amp;query=Faletti's%20Hotel%20Lahore&amp;query_place_id=ChIJKzuZt0wbGTkRP5YwPfAEOtQ", "Open Map")</f>
        <v>0</v>
      </c>
    </row>
    <row r="32" spans="1:11" ht="20" customHeight="1">
      <c r="A32" s="2"/>
      <c r="B32" s="2"/>
      <c r="C32" s="2"/>
      <c r="D32" s="2"/>
      <c r="E32" s="3"/>
      <c r="F32" s="4" t="s">
        <v>117</v>
      </c>
      <c r="G32" s="3">
        <v>1</v>
      </c>
      <c r="H32" s="2" t="s">
        <v>118</v>
      </c>
      <c r="I32" s="3" t="s">
        <v>119</v>
      </c>
      <c r="J32" s="5" t="str">
        <f>HYPERLINK("https://www.google.com/maps/reviews/data=!4m8!14m7!1m6!2m5!1sCi9DQUlRQUNvZENodHljRjlvT2paTE4xTndOak4wVEcxUk1tNWhNa2xHYVdSeE1HYxAB!2m1!1s0x0:0xd43a04f03d30963f!3m1!1s2@1:CAIQACodChtycF9oOjZLN1NwNjN0TG1RMm5hMklGaWRxMGc%7C%7C?hl=en", "View Link")</f>
        <v>View Link</v>
      </c>
      <c r="K32" s="5"/>
    </row>
    <row r="33" spans="1:11" ht="20" customHeight="1">
      <c r="A33" s="2"/>
      <c r="B33" s="2"/>
      <c r="C33" s="2"/>
      <c r="D33" s="2"/>
      <c r="E33" s="3"/>
      <c r="F33" s="4" t="s">
        <v>120</v>
      </c>
      <c r="G33" s="3">
        <v>1</v>
      </c>
      <c r="H33" s="2" t="s">
        <v>121</v>
      </c>
      <c r="I33" s="3" t="s">
        <v>122</v>
      </c>
      <c r="J33" s="5" t="str">
        <f>HYPERLINK("https://www.google.com/maps/reviews/data=!4m8!14m7!1m6!2m5!1sCi9DQUlRQUNvZENodHljRjlvT25GS2MyWmxiMU5aZG5keFZGaDJNbU5UY0ZsSVNVRRAB!2m1!1s0x0:0xd43a04f03d30963f!3m1!1s2@1:CAIQACodChtycF9oOnFKc2Zlb1NZdndxVFh2MmNTcFlISUE%7C%7C?hl=en", "View Link")</f>
        <v>View Link</v>
      </c>
      <c r="K33" s="5"/>
    </row>
    <row r="34" spans="1:11" ht="20" customHeight="1">
      <c r="A34" s="2"/>
      <c r="B34" s="2"/>
      <c r="C34" s="2"/>
      <c r="D34" s="2"/>
      <c r="E34" s="3"/>
      <c r="F34" s="4" t="s">
        <v>123</v>
      </c>
      <c r="G34" s="3">
        <v>1</v>
      </c>
      <c r="H34" s="2" t="s">
        <v>124</v>
      </c>
      <c r="I34" s="3" t="s">
        <v>125</v>
      </c>
      <c r="J34" s="5" t="str">
        <f>HYPERLINK("https://www.google.com/maps/reviews/data=!4m8!14m7!1m6!2m5!1sCi9DQUlRQUNvZENodHljRjlvT2xSM05EaFpSRFZRVFhod1NYbE5VVGhrUjBWWVVtYxAB!2m1!1s0x0:0xd43a04f03d30963f!3m1!1s2@1:CAIQACodChtycF9oOlR3NDhZRDVQTXhwSXlNUThkR0VYUmc%7C%7C?hl=en", "View Link")</f>
        <v>View Link</v>
      </c>
      <c r="K34" s="5"/>
    </row>
    <row r="35" spans="1:11" ht="20" customHeight="1">
      <c r="A35" s="2"/>
      <c r="B35" s="2"/>
      <c r="C35" s="2"/>
      <c r="D35" s="2"/>
      <c r="E35" s="3"/>
      <c r="F35" s="4" t="s">
        <v>126</v>
      </c>
      <c r="G35" s="3">
        <v>1</v>
      </c>
      <c r="H35" s="2" t="s">
        <v>127</v>
      </c>
      <c r="I35" s="3" t="s">
        <v>128</v>
      </c>
      <c r="J35" s="5" t="str">
        <f>HYPERLINK("https://www.google.com/maps/reviews/data=!4m8!14m7!1m6!2m5!1sCi9DQUlRQUNvZENodHljRjlvT2pSSU9EaHdWekpWTlRoM1JFbFZSVXR5UjI5Mk5tYxAB!2m1!1s0x0:0xd43a04f03d30963f!3m1!1s2@1:CAIQACodChtycF9oOjRIODhwVzJVNTh3RElVRUtyR292Nmc%7C%7C?hl=en", "View Link")</f>
        <v>View Link</v>
      </c>
      <c r="K35" s="5"/>
    </row>
    <row r="36" spans="1:11" ht="20" customHeight="1">
      <c r="A36" s="2"/>
      <c r="B36" s="2"/>
      <c r="C36" s="2"/>
      <c r="D36" s="2"/>
      <c r="E36" s="3"/>
      <c r="F36" s="4" t="s">
        <v>129</v>
      </c>
      <c r="G36" s="3">
        <v>1</v>
      </c>
      <c r="H36" s="2" t="s">
        <v>130</v>
      </c>
      <c r="I36" s="3" t="s">
        <v>131</v>
      </c>
      <c r="J36" s="5" t="str">
        <f>HYPERLINK("https://www.google.com/maps/reviews/data=!4m8!14m7!1m6!2m5!1sCi9DQUlRQUNvZENodHljRjlvT21WM2RXeGphMmRhVTJrdFlWRlFSbnBCYkZOS1pVRRAB!2m1!1s0x0:0xd43a04f03d30963f!3m1!1s2@1:CAIQACodChtycF9oOmV3dWxja2daU2ktYVFQRnpBbFNKZUE%7C%7C?hl=en", "View Link")</f>
        <v>View Link</v>
      </c>
      <c r="K36" s="5"/>
    </row>
    <row r="37" spans="1:11" ht="20" customHeight="1">
      <c r="A37" s="2"/>
      <c r="B37" s="2"/>
      <c r="C37" s="2"/>
      <c r="D37" s="2"/>
      <c r="E37" s="3"/>
      <c r="F37" s="4" t="s">
        <v>132</v>
      </c>
      <c r="G37" s="3">
        <v>1</v>
      </c>
      <c r="H37" s="2" t="s">
        <v>133</v>
      </c>
      <c r="I37" s="3" t="s">
        <v>134</v>
      </c>
      <c r="J37" s="5" t="str">
        <f>HYPERLINK("https://www.google.com/maps/reviews/data=!4m8!14m7!1m6!2m5!1sCi9DQUlRQUNvZENodHljRjlvT2xVeVF6QnZRV3RzWkVJeUxXaDJSRlJ5U2tJMmRYYxAB!2m1!1s0x0:0xd43a04f03d30963f!3m1!1s2@1:CAIQACodChtycF9oOlUyQzBvQWtsZEIyLWh2RFRySkI2dXc%7C%7C?hl=en", "View Link")</f>
        <v>View Link</v>
      </c>
      <c r="K37" s="5"/>
    </row>
    <row r="38" spans="1:11" ht="20" customHeight="1">
      <c r="A38" s="2"/>
      <c r="B38" s="2"/>
      <c r="C38" s="2"/>
      <c r="D38" s="2"/>
      <c r="E38" s="3"/>
      <c r="F38" s="4" t="s">
        <v>135</v>
      </c>
      <c r="G38" s="3">
        <v>1</v>
      </c>
      <c r="H38" s="2" t="s">
        <v>136</v>
      </c>
      <c r="I38" s="3" t="s">
        <v>137</v>
      </c>
      <c r="J38" s="5" t="str">
        <f>HYPERLINK("https://www.google.com/maps/reviews/data=!4m8!14m7!1m6!2m5!1sCi9DQUlRQUNvZENodHljRjlvT2xKTlJVeFRZbFY1WTBaT09XMXJPVU5GVkVwSWRsRRAB!2m1!1s0x0:0xd43a04f03d30963f!3m1!1s2@1:CAIQACodChtycF9oOlJNRUxTYlV5Y0ZOOW1rOUNFVEpIdlE%7C%7C?hl=en", "View Link")</f>
        <v>View Link</v>
      </c>
      <c r="K38" s="5"/>
    </row>
    <row r="39" spans="1:11" ht="20" customHeight="1">
      <c r="A39" s="2"/>
      <c r="B39" s="2"/>
      <c r="C39" s="2"/>
      <c r="D39" s="2"/>
      <c r="E39" s="3"/>
      <c r="F39" s="4" t="s">
        <v>138</v>
      </c>
      <c r="G39" s="3">
        <v>1</v>
      </c>
      <c r="H39" s="2" t="s">
        <v>139</v>
      </c>
      <c r="I39" s="3" t="s">
        <v>140</v>
      </c>
      <c r="J39" s="5" t="str">
        <f>HYPERLINK("https://www.google.com/maps/reviews/data=!4m8!14m7!1m6!2m5!1sCi9DQUlRQUNvZENodHljRjlvT25kRlpXOTRUa3RDTTJsd1lVSTRUVVZIWkdGcFZFRRAB!2m1!1s0x0:0xd43a04f03d30963f!3m1!1s2@1:CAIQACodChtycF9oOndFZW94TktCM2lwYUI4TUVHZGFpVEE%7C%7C?hl=en", "View Link")</f>
        <v>View Link</v>
      </c>
      <c r="K39" s="5"/>
    </row>
    <row r="40" spans="1:11" ht="20" customHeight="1">
      <c r="A40" s="2" t="s">
        <v>141</v>
      </c>
      <c r="B40" s="2" t="s">
        <v>142</v>
      </c>
      <c r="C40" s="2" t="s">
        <v>143</v>
      </c>
      <c r="D40" s="2" t="s">
        <v>14</v>
      </c>
      <c r="E40" s="3">
        <v>4.1</v>
      </c>
      <c r="F40" s="4" t="s">
        <v>144</v>
      </c>
      <c r="G40" s="3">
        <v>1</v>
      </c>
      <c r="H40" s="2" t="s">
        <v>145</v>
      </c>
      <c r="I40" s="3" t="s">
        <v>146</v>
      </c>
      <c r="J40" s="5" t="str">
        <f>HYPERLINK("https://www.google.com/maps/reviews/data=!4m8!14m7!1m6!2m5!1sCi9DQUlRQUNvZENodHljRjlvT2xkRGEyUlVlVzFYVTFGTFVXNHhXRXRsYkcxcWVYYxAB!2m1!1s0x0:0x2613073acf5a453c!3m1!1s2@1:CAIQACodChtycF9oOldDa2RUeW1XU1FLUW4xWEtlbG1qeXc%7C%7C?hl=en", "View Link")</f>
        <v>View Link</v>
      </c>
      <c r="K40" s="5">
        <f>HYPERLINK("https://www.google.com/maps/search/?api=1&amp;query=Hotel%20One%20The%20Mall%2C%20Lahore&amp;query_place_id=ChIJrTz79sQEGTkRPEVazzoHEyY", "Open Map")</f>
        <v>0</v>
      </c>
    </row>
    <row r="41" spans="1:11" ht="20" customHeight="1">
      <c r="A41" s="2"/>
      <c r="B41" s="2"/>
      <c r="C41" s="2"/>
      <c r="D41" s="2"/>
      <c r="E41" s="3"/>
      <c r="F41" s="4" t="s">
        <v>147</v>
      </c>
      <c r="G41" s="3">
        <v>1</v>
      </c>
      <c r="H41" s="2" t="s">
        <v>148</v>
      </c>
      <c r="I41" s="3" t="s">
        <v>149</v>
      </c>
      <c r="J41" s="5" t="str">
        <f>HYPERLINK("https://www.google.com/maps/reviews/data=!4m8!14m7!1m6!2m5!1sCi9DQUlRQUNvZENodHljRjlvT21SVE1XZGZlRVF3Y25WRWQzQmhPRFZQZFcxT01YYxAB!2m1!1s0x0:0x2613073acf5a453c!3m1!1s2@1:CAIQACodChtycF9oOmRTMWdfeEQwcnVEd3BhODVPdW1OMXc%7C%7C?hl=en", "View Link")</f>
        <v>View Link</v>
      </c>
      <c r="K41" s="5"/>
    </row>
    <row r="42" spans="1:11" ht="20" customHeight="1">
      <c r="A42" s="2"/>
      <c r="B42" s="2"/>
      <c r="C42" s="2"/>
      <c r="D42" s="2"/>
      <c r="E42" s="3"/>
      <c r="F42" s="4" t="s">
        <v>150</v>
      </c>
      <c r="G42" s="3">
        <v>1</v>
      </c>
      <c r="H42" s="2" t="s">
        <v>151</v>
      </c>
      <c r="I42" s="3" t="s">
        <v>152</v>
      </c>
      <c r="J42" s="5" t="str">
        <f>HYPERLINK("https://www.google.com/maps/reviews/data=!4m8!14m7!1m6!2m5!1sCi9DQUlRQUNvZENodHljRjlvT21aME5VaDFiVmd5ZG5CaFNVWXdNakJQTFhGaFRsRRAB!2m1!1s0x0:0x2613073acf5a453c!3m1!1s2@1:CAIQACodChtycF9oOmZ0NUh1bVgydnBhSUYwMjBPLXFhTlE%7C%7C?hl=en", "View Link")</f>
        <v>View Link</v>
      </c>
      <c r="K42" s="5"/>
    </row>
    <row r="43" spans="1:11" ht="20" customHeight="1">
      <c r="A43" s="2"/>
      <c r="B43" s="2"/>
      <c r="C43" s="2"/>
      <c r="D43" s="2"/>
      <c r="E43" s="3"/>
      <c r="F43" s="4" t="s">
        <v>153</v>
      </c>
      <c r="G43" s="3">
        <v>1</v>
      </c>
      <c r="H43" s="2" t="s">
        <v>154</v>
      </c>
      <c r="I43" s="3" t="s">
        <v>155</v>
      </c>
      <c r="J43" s="5" t="str">
        <f>HYPERLINK("https://www.google.com/maps/reviews/data=!4m8!14m7!1m6!2m5!1sCi9DQUlRQUNvZENodHljRjlvT21FdE4ybFRhMVJyVVZGRVluRkNjRVZzU0VSdGNIYxAB!2m1!1s0x0:0x2613073acf5a453c!3m1!1s2@1:CAIQACodChtycF9oOmEtN2lTa1RrUVFEYnFCcEVsSERtcHc%7C%7C?hl=en", "View Link")</f>
        <v>View Link</v>
      </c>
      <c r="K43" s="5"/>
    </row>
    <row r="44" spans="1:11" ht="20" customHeight="1">
      <c r="A44" s="2"/>
      <c r="B44" s="2"/>
      <c r="C44" s="2"/>
      <c r="D44" s="2"/>
      <c r="E44" s="3"/>
      <c r="F44" s="4" t="s">
        <v>156</v>
      </c>
      <c r="G44" s="3">
        <v>1</v>
      </c>
      <c r="H44" s="2" t="s">
        <v>157</v>
      </c>
      <c r="I44" s="3" t="s">
        <v>158</v>
      </c>
      <c r="J44" s="5" t="str">
        <f>HYPERLINK("https://www.google.com/maps/reviews/data=!4m8!14m7!1m6!2m5!1sCi9DQUlRQUNvZENodHljRjlvT2tWNmFTMWhibVI0VlhCT1pIWnRTbGxLYldad1RXYxAB!2m1!1s0x0:0x2613073acf5a453c!3m1!1s2@1:CAIQACodChtycF9oOkV6aS1hbmR4VXBOZHZtSllKbWZwTWc%7C%7C?hl=en", "View Link")</f>
        <v>View Link</v>
      </c>
      <c r="K44" s="5"/>
    </row>
    <row r="45" spans="1:11" ht="20" customHeight="1">
      <c r="A45" s="2"/>
      <c r="B45" s="2"/>
      <c r="C45" s="2"/>
      <c r="D45" s="2"/>
      <c r="E45" s="3"/>
      <c r="F45" s="4" t="s">
        <v>159</v>
      </c>
      <c r="G45" s="3">
        <v>1</v>
      </c>
      <c r="H45" s="2" t="s">
        <v>160</v>
      </c>
      <c r="I45" s="3" t="s">
        <v>161</v>
      </c>
      <c r="J45" s="5" t="str">
        <f>HYPERLINK("https://www.google.com/maps/reviews/data=!4m8!14m7!1m6!2m5!1sChZDSUhNMG9nS0VJQ0FnSUQ3LTh2Y0ZREAE!2m1!1s0x0:0x2613073acf5a453c!3m1!1s2@1:CIHM0ogKEICAgID7-8vcFQ%7C%7C?hl=en", "View Link")</f>
        <v>View Link</v>
      </c>
      <c r="K45" s="5"/>
    </row>
    <row r="46" spans="1:11" ht="20" customHeight="1">
      <c r="A46" s="2"/>
      <c r="B46" s="2"/>
      <c r="C46" s="2"/>
      <c r="D46" s="2"/>
      <c r="E46" s="3"/>
      <c r="F46" s="4" t="s">
        <v>162</v>
      </c>
      <c r="G46" s="3">
        <v>1</v>
      </c>
      <c r="H46" s="2" t="s">
        <v>163</v>
      </c>
      <c r="I46" s="3" t="s">
        <v>164</v>
      </c>
      <c r="J46" s="5" t="str">
        <f>HYPERLINK("https://www.google.com/maps/reviews/data=!4m8!14m7!1m6!2m5!1sChdDSUhNMG9nS0VJQ0FnSUNoZzRlSTFBRRAB!2m1!1s0x0:0x2613073acf5a453c!3m1!1s2@1:CIHM0ogKEICAgIChg4eI1AE%7C%7C?hl=en", "View Link")</f>
        <v>View Link</v>
      </c>
      <c r="K46" s="5"/>
    </row>
    <row r="47" spans="1:11" ht="20" customHeight="1">
      <c r="A47" s="2"/>
      <c r="B47" s="2"/>
      <c r="C47" s="2"/>
      <c r="D47" s="2"/>
      <c r="E47" s="3"/>
      <c r="F47" s="4" t="s">
        <v>165</v>
      </c>
      <c r="G47" s="3">
        <v>1</v>
      </c>
      <c r="H47" s="2" t="s">
        <v>166</v>
      </c>
      <c r="I47" s="3" t="s">
        <v>167</v>
      </c>
      <c r="J47" s="5" t="str">
        <f>HYPERLINK("https://www.google.com/maps/reviews/data=!4m8!14m7!1m6!2m5!1sCi9DQUlRQUNvZENodHljRjlvT2s0NE5FcHZPREprZVUxUmQyRnRPRmc1U0RWSE0xRRAB!2m1!1s0x0:0x2613073acf5a453c!3m1!1s2@1:CAIQACodChtycF9oOk44NEpvODJkeU1Rd2FtOFg5SDVHM1E%7C%7C?hl=en", "View Link")</f>
        <v>View Link</v>
      </c>
      <c r="K47" s="5"/>
    </row>
    <row r="48" spans="1:11" ht="20" customHeight="1">
      <c r="A48" s="2"/>
      <c r="B48" s="2"/>
      <c r="C48" s="2"/>
      <c r="D48" s="2"/>
      <c r="E48" s="3"/>
      <c r="F48" s="4" t="s">
        <v>168</v>
      </c>
      <c r="G48" s="3">
        <v>1</v>
      </c>
      <c r="H48" s="2" t="s">
        <v>169</v>
      </c>
      <c r="I48" s="3" t="s">
        <v>170</v>
      </c>
      <c r="J48" s="5" t="str">
        <f>HYPERLINK("https://www.google.com/maps/reviews/data=!4m8!14m7!1m6!2m5!1sChZDSUhNMG9nS0VJQ0FnSUNOejVfVUtREAE!2m1!1s0x0:0x2613073acf5a453c!3m1!1s2@1:CIHM0ogKEICAgICNz5_UKQ%7C%7C?hl=en", "View Link")</f>
        <v>View Link</v>
      </c>
      <c r="K48" s="5"/>
    </row>
    <row r="49" spans="1:11" ht="20" customHeight="1">
      <c r="A49" s="2"/>
      <c r="B49" s="2"/>
      <c r="C49" s="2"/>
      <c r="D49" s="2"/>
      <c r="E49" s="3"/>
      <c r="F49" s="4" t="s">
        <v>171</v>
      </c>
      <c r="G49" s="3">
        <v>1</v>
      </c>
      <c r="H49" s="2" t="s">
        <v>172</v>
      </c>
      <c r="I49" s="3" t="s">
        <v>173</v>
      </c>
      <c r="J49" s="5" t="str">
        <f>HYPERLINK("https://www.google.com/maps/reviews/data=!4m8!14m7!1m6!2m5!1sChdDSUhNMG9nS0VJQ0FnSURnbW9YQ3ZnRRAB!2m1!1s0x0:0x2613073acf5a453c!3m1!1s2@1:CIHM0ogKEICAgIDgmoXCvgE%7C%7C?hl=en", "View Link")</f>
        <v>View Link</v>
      </c>
      <c r="K49" s="5"/>
    </row>
    <row r="50" spans="1:11" ht="20" customHeight="1">
      <c r="A50" s="2" t="s">
        <v>174</v>
      </c>
      <c r="B50" s="2" t="s">
        <v>175</v>
      </c>
      <c r="C50" s="2" t="s">
        <v>176</v>
      </c>
      <c r="D50" s="2" t="s">
        <v>45</v>
      </c>
      <c r="E50" s="3">
        <v>4.4</v>
      </c>
      <c r="F50" s="4" t="s">
        <v>177</v>
      </c>
      <c r="G50" s="3">
        <v>1</v>
      </c>
      <c r="H50" s="2" t="s">
        <v>178</v>
      </c>
      <c r="I50" s="3" t="s">
        <v>179</v>
      </c>
      <c r="J50" s="5" t="str">
        <f>HYPERLINK("https://www.google.com/maps/reviews/data=!4m8!14m7!1m6!2m5!1sCi9DQUlRQUNvZENodHljRjlvT21WclNtMTFOR3g1WHpGamJFTXRaVkJGUkZsSFowRRAB!2m1!1s0x0:0x33c628a29d002a0d!3m1!1s2@1:CAIQACodChtycF9oOmVrSm11NGx5XzFjbEMtZVBFRFlHZ0E%7C%7C?hl=en", "View Link")</f>
        <v>View Link</v>
      </c>
      <c r="K50" s="5">
        <f>HYPERLINK("https://www.google.com/maps/search/?api=1&amp;query=Faletti's%20Express%20-%20Shimla%20Hill&amp;query_place_id=ChIJNbUDqpkbGTkRDSoAnaIoxjM", "Open Map")</f>
        <v>0</v>
      </c>
    </row>
    <row r="51" spans="1:11" ht="20" customHeight="1">
      <c r="A51" s="2"/>
      <c r="B51" s="2"/>
      <c r="C51" s="2"/>
      <c r="D51" s="2"/>
      <c r="E51" s="3"/>
      <c r="F51" s="4" t="s">
        <v>180</v>
      </c>
      <c r="G51" s="3">
        <v>1</v>
      </c>
      <c r="H51" s="2" t="s">
        <v>181</v>
      </c>
      <c r="I51" s="3" t="s">
        <v>182</v>
      </c>
      <c r="J51" s="5" t="str">
        <f>HYPERLINK("https://www.google.com/maps/reviews/data=!4m8!14m7!1m6!2m5!1sCi9DQUlRQUNvZENodHljRjlvT2taUU1YQmhURUpmYkRCTlJuWk1UVGRUY2toWlowRRAB!2m1!1s0x0:0x33c628a29d002a0d!3m1!1s2@1:CAIQACodChtycF9oOkZQMXBhTEJfbDBNRnZMTTdTckhZZ0E%7C%7C?hl=en", "View Link")</f>
        <v>View Link</v>
      </c>
      <c r="K51" s="5"/>
    </row>
    <row r="52" spans="1:11" ht="20" customHeight="1">
      <c r="A52" s="2"/>
      <c r="B52" s="2"/>
      <c r="C52" s="2"/>
      <c r="D52" s="2"/>
      <c r="E52" s="3"/>
      <c r="F52" s="4" t="s">
        <v>183</v>
      </c>
      <c r="G52" s="3">
        <v>1</v>
      </c>
      <c r="H52" s="2" t="s">
        <v>184</v>
      </c>
      <c r="I52" s="3" t="s">
        <v>185</v>
      </c>
      <c r="J52" s="5" t="str">
        <f>HYPERLINK("https://www.google.com/maps/reviews/data=!4m8!14m7!1m6!2m5!1sCi9DQUlRQUNvZENodHljRjlvT21kNE5GSktORzlPYWsxWFVsYzJOVzB6TmxwRFlVRRAB!2m1!1s0x0:0x33c628a29d002a0d!3m1!1s2@1:CAIQACodChtycF9oOmd4NFJKNG9Oak1XUlc2NW0zNlpDYUE%7C%7C?hl=en", "View Link")</f>
        <v>View Link</v>
      </c>
      <c r="K52" s="5"/>
    </row>
    <row r="53" spans="1:11" ht="20" customHeight="1">
      <c r="A53" s="2"/>
      <c r="B53" s="2"/>
      <c r="C53" s="2"/>
      <c r="D53" s="2"/>
      <c r="E53" s="3"/>
      <c r="F53" s="4" t="s">
        <v>186</v>
      </c>
      <c r="G53" s="3">
        <v>1</v>
      </c>
      <c r="H53" s="2" t="s">
        <v>187</v>
      </c>
      <c r="I53" s="3" t="s">
        <v>188</v>
      </c>
      <c r="J53" s="5" t="str">
        <f>HYPERLINK("https://www.google.com/maps/reviews/data=!4m8!14m7!1m6!2m5!1sCi9DQUlRQUNvZENodHljRjlvT201a2VUVklhbFIyYVU1YVdVTnZTR0ZETms1V1QxRRAB!2m1!1s0x0:0x33c628a29d002a0d!3m1!1s2@1:CAIQACodChtycF9oOm5keTVIalR2aU5aWUNvSGFDNk5WT1E%7C%7C?hl=en", "View Link")</f>
        <v>View Link</v>
      </c>
      <c r="K53" s="5"/>
    </row>
    <row r="54" spans="1:11" ht="20" customHeight="1">
      <c r="A54" s="2"/>
      <c r="B54" s="2"/>
      <c r="C54" s="2"/>
      <c r="D54" s="2"/>
      <c r="E54" s="3"/>
      <c r="F54" s="4" t="s">
        <v>189</v>
      </c>
      <c r="G54" s="3">
        <v>1</v>
      </c>
      <c r="H54" s="2" t="s">
        <v>190</v>
      </c>
      <c r="I54" s="3" t="s">
        <v>191</v>
      </c>
      <c r="J54" s="5" t="str">
        <f>HYPERLINK("https://www.google.com/maps/reviews/data=!4m8!14m7!1m6!2m5!1sCi9DQUlRQUNvZENodHljRjlvT21sWU0xQk9OVXA0VUVsT1dVOUlTM0V0Y1VWRlVrRRAB!2m1!1s0x0:0x33c628a29d002a0d!3m1!1s2@1:CAIQACodChtycF9oOmlYM1BONUp4UElOWU9IS3EtcUVFUkE%7C%7C?hl=en", "View Link")</f>
        <v>View Link</v>
      </c>
      <c r="K54" s="5"/>
    </row>
    <row r="55" spans="1:11" ht="20" customHeight="1">
      <c r="A55" s="2"/>
      <c r="B55" s="2"/>
      <c r="C55" s="2"/>
      <c r="D55" s="2"/>
      <c r="E55" s="3"/>
      <c r="F55" s="4" t="s">
        <v>192</v>
      </c>
      <c r="G55" s="3">
        <v>1</v>
      </c>
      <c r="H55" s="2" t="s">
        <v>193</v>
      </c>
      <c r="I55" s="3" t="s">
        <v>194</v>
      </c>
      <c r="J55" s="5" t="str">
        <f>HYPERLINK("https://www.google.com/maps/reviews/data=!4m8!14m7!1m6!2m5!1sCi9DQUlRQUNvZENodHljRjlvT25CMGRIUkJNbGhsUVU1RmNUZFRUM1pOYjNFNGJIYxAB!2m1!1s0x0:0x33c628a29d002a0d!3m1!1s2@1:CAIQACodChtycF9oOnB0dHRBMlhlQU5FcTdTT3ZNb3E4bHc%7C%7C?hl=en", "View Link")</f>
        <v>View Link</v>
      </c>
      <c r="K55" s="5"/>
    </row>
    <row r="56" spans="1:11" ht="20" customHeight="1">
      <c r="A56" s="2"/>
      <c r="B56" s="2"/>
      <c r="C56" s="2"/>
      <c r="D56" s="2"/>
      <c r="E56" s="3"/>
      <c r="F56" s="4" t="s">
        <v>195</v>
      </c>
      <c r="G56" s="3">
        <v>1</v>
      </c>
      <c r="H56" s="2" t="s">
        <v>196</v>
      </c>
      <c r="I56" s="3" t="s">
        <v>197</v>
      </c>
      <c r="J56" s="5" t="str">
        <f>HYPERLINK("https://www.google.com/maps/reviews/data=!4m8!14m7!1m6!2m5!1sCi9DQUlRQUNvZENodHljRjlvT2poNmFHVlRVQzFqT0dnMGVEZDVlWE5qVkU0ek0xRRAB!2m1!1s0x0:0x33c628a29d002a0d!3m1!1s2@1:CAIQACodChtycF9oOjh6aGVTUC1jOGg0eDd5eXNjVE4zM1E%7C%7C?hl=en", "View Link")</f>
        <v>View Link</v>
      </c>
      <c r="K56" s="5"/>
    </row>
    <row r="57" spans="1:11" ht="20" customHeight="1">
      <c r="A57" s="2"/>
      <c r="B57" s="2"/>
      <c r="C57" s="2"/>
      <c r="D57" s="2"/>
      <c r="E57" s="3"/>
      <c r="F57" s="4" t="s">
        <v>198</v>
      </c>
      <c r="G57" s="3">
        <v>1</v>
      </c>
      <c r="H57" s="2" t="s">
        <v>199</v>
      </c>
      <c r="I57" s="3" t="s">
        <v>200</v>
      </c>
      <c r="J57" s="5" t="str">
        <f>HYPERLINK("https://www.google.com/maps/reviews/data=!4m8!14m7!1m6!2m5!1sChdDSUhNMG9nS0VJQ0FnTUNndmJPQnB3RRAB!2m1!1s0x0:0x33c628a29d002a0d!3m1!1s2@1:CIHM0ogKEICAgMCgvbOBpwE%7C%7C?hl=en", "View Link")</f>
        <v>View Link</v>
      </c>
      <c r="K57" s="5"/>
    </row>
    <row r="58" spans="1:11" ht="20" customHeight="1">
      <c r="A58" s="2"/>
      <c r="B58" s="2"/>
      <c r="C58" s="2"/>
      <c r="D58" s="2"/>
      <c r="E58" s="3"/>
      <c r="F58" s="4" t="s">
        <v>201</v>
      </c>
      <c r="G58" s="3">
        <v>1</v>
      </c>
      <c r="H58" s="2" t="s">
        <v>202</v>
      </c>
      <c r="I58" s="3" t="s">
        <v>203</v>
      </c>
      <c r="J58" s="5" t="str">
        <f>HYPERLINK("https://www.google.com/maps/reviews/data=!4m8!14m7!1m6!2m5!1sCi9DQUlRQUNvZENodHljRjlvT25CQlpGTnZXWEJaWTNSSWFVSm9Uazl0Y1VSTWNsRRAB!2m1!1s0x0:0x33c628a29d002a0d!3m1!1s2@1:CAIQACodChtycF9oOnBBZFNvWXBZY3RIaUJoTk9tcURMclE%7C%7C?hl=en", "View Link")</f>
        <v>View Link</v>
      </c>
      <c r="K58" s="5"/>
    </row>
  </sheetData>
  <mergeCells count="36">
    <mergeCell ref="A2:A10"/>
    <mergeCell ref="B2:B10"/>
    <mergeCell ref="C2:C10"/>
    <mergeCell ref="D2:D10"/>
    <mergeCell ref="E2:E10"/>
    <mergeCell ref="K2:K10"/>
    <mergeCell ref="A11:A20"/>
    <mergeCell ref="B11:B20"/>
    <mergeCell ref="C11:C20"/>
    <mergeCell ref="D11:D20"/>
    <mergeCell ref="E11:E20"/>
    <mergeCell ref="K11:K20"/>
    <mergeCell ref="A21:A30"/>
    <mergeCell ref="B21:B30"/>
    <mergeCell ref="C21:C30"/>
    <mergeCell ref="D21:D30"/>
    <mergeCell ref="E21:E30"/>
    <mergeCell ref="K21:K30"/>
    <mergeCell ref="A31:A39"/>
    <mergeCell ref="B31:B39"/>
    <mergeCell ref="C31:C39"/>
    <mergeCell ref="D31:D39"/>
    <mergeCell ref="E31:E39"/>
    <mergeCell ref="K31:K39"/>
    <mergeCell ref="A40:A49"/>
    <mergeCell ref="B40:B49"/>
    <mergeCell ref="C40:C49"/>
    <mergeCell ref="D40:D49"/>
    <mergeCell ref="E40:E49"/>
    <mergeCell ref="K40:K49"/>
    <mergeCell ref="A50:A58"/>
    <mergeCell ref="B50:B58"/>
    <mergeCell ref="C50:C58"/>
    <mergeCell ref="D50:D58"/>
    <mergeCell ref="E50:E58"/>
    <mergeCell ref="K50:K5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Negative Reviews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2026-08-09T21:24:22Z</dcterms:created>
  <dcterms:modified xsi:type="dcterms:W3CDTF">2026-08-09T21:24:22Z</dcterms:modified>
</cp:coreProperties>
</file>