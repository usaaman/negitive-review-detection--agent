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<sst xmlns="http://schemas.openxmlformats.org/spreadsheetml/2006/main" count="5248" uniqueCount="2335">
  <si>
    <t>Business Name</t>
  </si>
  <si>
    <t>Address</t>
  </si>
  <si>
    <t>Phone</t>
  </si>
  <si>
    <t>Email</t>
  </si>
  <si>
    <t>Website</t>
  </si>
  <si>
    <t>Business Rating</t>
  </si>
  <si>
    <t>Reviewer Name</t>
  </si>
  <si>
    <t>Review Stars</t>
  </si>
  <si>
    <t>Review Text</t>
  </si>
  <si>
    <t>Review Date</t>
  </si>
  <si>
    <t>Review Link</t>
  </si>
  <si>
    <t>Business Maps Link</t>
  </si>
  <si>
    <t>Clínica IMIF</t>
  </si>
  <si>
    <t>C/ d'Aragó, 9, 07800 Eivissa, Illes Balears, Spain</t>
  </si>
  <si>
    <t>+34 971 39 13 92</t>
  </si>
  <si>
    <t>citas@clinicaimif.com</t>
  </si>
  <si>
    <t>Maria Konash</t>
  </si>
  <si>
    <t>Without any analysis doctor tell me to take antibiotics, that ruined my stomach and didn't solve the main main problem as well.
At reception they said that I have to pay for the second visit, even if its a mistake of doctor.
No, thanks.</t>
  </si>
  <si>
    <t>2021-11-08T06:56:10.368Z</t>
  </si>
  <si>
    <t>alba muñoz luzon</t>
  </si>
  <si>
    <t>Las personas que hay en recepción dejan mucho que desear, llevaba tiempo sabiendo que tenían 0 empatía pero hace unos días me lo dejaron clarísimo. Son personas frías, no tienen buen trato hacia los pacientes, bordes, etc.
Si había algo que me hacía seguir acudiendo a esa clínica era porque estaba mi podóloga, pero con ese trato por parte de las de recepción prefiero dejar de acudir.</t>
  </si>
  <si>
    <t>2026-04-08T09:05:14.563Z</t>
  </si>
  <si>
    <t>Toni Pla</t>
  </si>
  <si>
    <t>Fui a consulta para revisar unos lunares en la espalda y la experiencia dejó bastante que desear. La revisión duró literalmente menos de 30 segundos: apenas me miraron por encima, me tocaron la espalda con un guante y me dijeron que “no parecía nada”.
Salí con la sensación de no haber recibido una valoración real ni detallada, y aun así tuve que pagar 100 €. Me parece un servicio muy pobre para el precio que se cobra. No lo recomendaría si buscas una revisión dermatológica mínimamente completa.</t>
  </si>
  <si>
    <t>2026-03-25T14:34:36.561Z</t>
  </si>
  <si>
    <t>Carlos Martin</t>
  </si>
  <si>
    <t>Mi experiencia en esta clínica médica privada ha sido profundamente decepcionante y preocupante. El trato recibido dista muchísimo de lo que se espera de un centro sanitario: falta absoluta de profesionalidad, desorganización y una atención al paciente claramente deficiente.
Desde recepción, la actitud fue fría, poco empática y nada resolutiva, dando la sensación de que el paciente molesta más de lo que importa. En cuanto al médico, su comportamiento fue irresponsable e irrespetuoso, sin la atención, el cuidado ni la seriedad que requiere una consulta médica.
Acudir a una clínica privada implica confiar en profesionales cualificados y pagar por un servicio de calidad, algo que aquí, lamentablemente, no existe. La sensación final es de incompetencia general y de falta de compromiso con la salud y el bienestar del paciente.
No recomendaría este centro bajo ningún concepto. Considero importante que otros usuarios conozcan cómo funcionan y el trato que pueden llegar a recibir, para que puedan tomar una decisión informada y evitar una experiencia tan negativa como</t>
  </si>
  <si>
    <t>2025-12-26T22:08:43.919Z</t>
  </si>
  <si>
    <t>alejandra torres juan</t>
  </si>
  <si>
    <t>No vayáis al psicólogo en Imif en especial con Beatriz Jiménez. Poco profesional, todas las sesiones llega entre 15-20 min tarde avisando cuando le parece. No tiene en cuenta al paciente y ataca sin tener razón... Muy descontenta con el trato que tuve por su parte. A mi parecer solo quiere el dinero que le paga la clínica sin tener en cuenta las necesidades del paciente. Pide empatía pero la que debe serlo es ella misma con su trabajo y ser responsable almenos con eso ya que no lo es con los sentimientos de sus "pacientes".</t>
  </si>
  <si>
    <t>2025-03-21T14:25:55.756Z</t>
  </si>
  <si>
    <t>Elisabeth Martinez</t>
  </si>
  <si>
    <t>Muy descontenta de mi resultado del tratamiento de labios con la DRA Leire.
Al ponerme 1 vial de ácido (llevando ya producto anterior) a los pocos meses se desencadenó un bulto, de febrero a junio fui 1 vez al mes a intentar quitarlo (solo pasa 1 vez en Ibiza) y cada vez que iba me decía una cosa diferente sin saber la causa del problema.
Primero con hialuronidasa, luego volvió a ponerme ácido ( dos veces) puesto que “era deshidratación de mi labio”  lo cual posterior a ello fue mucho peor y tras tantos meses yendo y no mejorarme casi nada, decidí ir a otra clínica con otra profesional de la cual me dijo que tenía una migración de producto bastante grande y ya por fin he podido recuperar mi labio después de necesitar 3 sesiones de hialuronidasa que me lo ha quitado por completo.
Le escribí para comentárselo y lo primero que hizo fue echarme las culpas a mí, decirme que ya fui a su clínica con el labio mal (mentira, me dijo que estaban muy bonitos y que los realzaría ) que no le constaba de este problema, luego decirme que mi labio capta mucha agua y que me pasaría con cualquier tratamiento que me volviera a hacer (todo eso no me lo dijo en ninguna consulta, sino ya cuando le dije que fui a otro profesional…) al principio genial con su trato, pero pensároslo mejor en tratar con ella, ya que si tenéis un problema va a ser difícil que os lo resuelva y encima las culpas al paciente. La había recomendado bastante, pero después de esto no volvería, ha sido una muy mala experiencia.</t>
  </si>
  <si>
    <t>2025-09-08T18:20:35.978Z</t>
  </si>
  <si>
    <t>KRASIMIR DIMOV</t>
  </si>
  <si>
    <t>INDIGNANTE. CERO PROFESIONALIDAD.
Tenía una cita hoy 20/06/2025 a las 13:45h con la dermatóloga. Me cancelan dos horas antes alegando que “le ha surgido algo”. Sin explicación real, sin solución, sin vergüenza.
Si buscas una clínica seria y comprometida con los pacientes, esta NO lo es.
Lo mínimo es respetar el tiempo de las personas.
Una falta total de profesionalidad. No volveré.</t>
  </si>
  <si>
    <t>2025-06-20T10:37:13.009Z</t>
  </si>
  <si>
    <t>Teresa Gomez</t>
  </si>
  <si>
    <t>Los médicos perfecto,pero la recepción deja mucho que desear, para que te den cita un desastre,pasan del paciente olímpicamente,si no vas al mostrador no hay manera de conseguir cita,pasan de atender al teléfono</t>
  </si>
  <si>
    <t>2025-09-24T10:33:56.818Z</t>
  </si>
  <si>
    <t>Agustin Padilla Galindo</t>
  </si>
  <si>
    <t>Primera visita a esta clínica y formalidad -10 y capacidad de querer resolver su error -20. Despues de una hora de espera me he tenido que ir sin que me atendiera el especialista.</t>
  </si>
  <si>
    <t>2025-11-26T12:54:14.503Z</t>
  </si>
  <si>
    <t>E.s.c</t>
  </si>
  <si>
    <t>Fui a una cita médica para un lunar , y me  vi pagando 100€ para que me dijera  la dermatóloga que estaba para quitar, pero que si me lo quería quitar debo de ir a otra consulta que tiene en otro sitio , porque en esta clínica no lo hacen ( de risa) no hacía ni el láser ni el bisturí, tenía que pagar otra consulta porque en Imif no lo hacían , no entiendo aún , ir a un especialista privado y que te derive a otra privada , pagando 100€ de consulta por 8 minutos y sin solución .
Lo mismo que me dijo en 8 minutos ella , me dijo mi Estetica sin cobrarme nada , quiero decir Estafa seria como siempre en Ibiza .</t>
  </si>
  <si>
    <t>2025-03-14T06:45:24.670Z</t>
  </si>
  <si>
    <t>Vanessa Recio Moreno</t>
  </si>
  <si>
    <t>Buenas tardes, no soy de dar mi opinión respecto al trato  que recibo cuando voy a la consulta de un profesional, porque nunca nos habíamos sentido tan mal, pero considero que el trato que recibimos por parte de dermatología fue denigrante. Casi ni fuimos atendidos. Me dio la sensación que fuimos a tirar a la basura 285€. Elegí ir a esta clínica porque el trato con el resto de profesionales siempre ha sido excelente tanto oftalmología, ginecología cuando estaba la doctora Bonet,  etc. Son unos profesionales excelentes, pero mi experiencia con dermatología no la recomiendo a nadie, lo siento.</t>
  </si>
  <si>
    <t>2023-04-19T15:01:34.590Z</t>
  </si>
  <si>
    <t>María Del Carmen Orellana</t>
  </si>
  <si>
    <t>Nada contenta con el trato. Resultados después de 20 días y llamando yo a la semana después de q me dijeran q ya había llegado el resultado.  Ni siquiera me han resuelto las dudas q tenia. Aún pidiéndole a la chica de recepción q pasara mi duda al doctor. No volveré</t>
  </si>
  <si>
    <t>2024-09-17T20:29:47.737Z</t>
  </si>
  <si>
    <t>Ushibz Ushibz</t>
  </si>
  <si>
    <t>Pésima atención por el Médico general Kumar,da de alta sin solucionar el problema y encima por teléfono cuando le he dicho que continuaba con la inflamación en la rodilla y tobillo. No escucha, le da igual como estés. Dos meses de "rehabilitación " que no ha hecho más que mantener y a días empeorar la situación. Hace años pasé por una situación similar en la que sólo me daban ibuprofeno o me la inyectaban sin solución. Lo mejor en ese momento fue ir a un Osteopata en formentera que me alivió el dolor y pude caminar. No recomiendo Imif para nada. Los fisioterapeutas muy educados. Y a la chica de recepción rubia le diría que al menos conteste a los buenos días o buenas tardes.</t>
  </si>
  <si>
    <t>2024-06-24T17:33:41.845Z</t>
  </si>
  <si>
    <t>Lorena Bonet</t>
  </si>
  <si>
    <t>El día 10 de Agosto acudí a la clínica para realizar una ecografía de 20 semanas de gestación. Tanto a la llegada con la doctora Ledesma como cuando solicite la cita indique que no estoy llevando el embarazo en Ibiza, estoy tele trabajando y necesitaba el informe de dicha ecografía para poder enviarlo al hospital que me llevan todo el embarazo en Madrid. La consulta fue bien, si es cierto que me indicaron dos cosas a revisar que no eran correctas pero puede ser que hubiera sido coincidencia de dicho día. Me indicaron que comprase un pen drive para que me pudieran grabar las imágenes. Así lo hice lo dejé en recepción. Estuvimos llamando para ver si estaba informe e imágenes una semana. El pen drive lo pude conseguir, ojo! Las imágenes sin mi nombre ni tiempo de gestación, absolutamente nada. Son mias? No? Me parece 0 profesional. El informe a día de hoy no lo he recibido. Una hoja tan sencilla de hacer con los datos obtenidos. Cuando lo reclamó la respuesta en recepción tras varios días de reclamadlos: nosotros no hacemos informes, lo que te indique la doctora en consulta es lo que es. Perdona? En que momento haces un servicio y te vas sin un informe?
He tenido que volver a repetir todo ya que mi hospital me lo ha solicitado, facturando 2 veces a mi seguro la misma ecografía. Solicite hablar con el gerente tuvimos una conversación donde le transmití todo lo sucedido.
Personalmente no recomiendo esta clínica ni volvería a ir. Dejo constancia ya que me parece que deben reforzar con creces personas, servicio y Atencion.</t>
  </si>
  <si>
    <t>2023-08-25T07:02:23.945Z</t>
  </si>
  <si>
    <t>maria diego</t>
  </si>
  <si>
    <t>La atención la cliente más pésima de toda la isla.
Me dan la cita para quemarme una verruga con nitrógeno con la dermatóloga un día que ella no está, me la cambian ( teniendo que cambiar mis horarios de trabajo dos veces) y cuando llego, después de esperar 45 minutos de retraso,me dice la dermatóloga que no tiene nitrógeno.
O tienen un problema de comunicación o simplemente las recepcionistas pasan de hacer bien su trabajo.
Reclamaré mediante el seguro privado la horrible atención al cliente que tienen.</t>
  </si>
  <si>
    <t>2023-01-12T11:54:37.390Z</t>
  </si>
  <si>
    <t>Cristina Mateos Gutiérrez</t>
  </si>
  <si>
    <t>La DERMATÓLOGA es horrible, de las peores experiencias que he tenido con un médico en toda mi vida.
Que se jubile ya esa señora porque no muestra el más mínimo interés por su trabajo ni por sus pacientes. Un auténtico cuadro. No perdáis vuestro tiempo ni dinero con el servicio de dermatología de esta clínica porque es una ESTAFA.
He ido a quitar unos capilares de la nariz y un lunar y me dice la señora que ella no me puede hacer ninguna de las dos cosas … ósea, que llevo un mes esperando mi cita para que me digan que, un procedimiento de lo más sencillo no me lo pueden hacer. Y para colmo le digo que me examine mi tipo de piel y me mande alguna crema o tratamiento para el acné y me dice, sin levantarse del sitio, que me lave con jabón, con cualquier jabón, que lo importante es limpiar el poro. Y ya. Y se queda tan pancha. Señora, jubílese ya!!!! Menuda incompetente</t>
  </si>
  <si>
    <t>2023-06-27T13:03:46.151Z</t>
  </si>
  <si>
    <t>Vero Ahtan</t>
  </si>
  <si>
    <t>Pésima atencion por parte del Dc Kumar. Se nego a atenderme y me recibio en el hall de entrada. Desde la clinica Imif me habian citado con el para hacerme una revision ya que estaba en tratamiento de rehabilitación.  Alego que el no era el empleado de las mutuas para estar revalorando a los pacientes y me dejo sin atencion. Mal trato por su parte y por las recepcionistas que se encontraban presentes. Lugar no recomendable.</t>
  </si>
  <si>
    <t>2024-07-29T08:08:45.403Z</t>
  </si>
  <si>
    <t>Liyan Cristina Calderon</t>
  </si>
  <si>
    <t>Muy mala tensión la verdad que la chica cuando uno llama nunca dice ni buenos días ni buenas tardes independiente de eso también te hablan muy seco y muy borde no te especifican ni tampoco te dicen si te pueden ayudar en algo más o te intentan solucionar un problema simplemente dice no no lo tenemos</t>
  </si>
  <si>
    <t>2025-11-14T09:28:47.080Z</t>
  </si>
  <si>
    <t>Moni Pein</t>
  </si>
  <si>
    <t>No ir al dr. Bayona médico estético. Me hice un el hialuronico en los labios y fatal… me gaste 499 euros para desear que pase un año y se me quite el desastre que me hicieron. Encima las maneras del doctor Bayona dejan mucho que desear… se pone a chillar… en fin me ha creado un complejo que tenía. Tengo una bola en el labio superior que no se quita y no pienso en confiar en él para que intente arreglármelo porque me dejo desde julio a octubre diciéndome que tenía que bajar esa bola y al final nunca bajó. Espero y deseo recuperar mi labio original</t>
  </si>
  <si>
    <t>2022-11-05T08:15:38.041Z</t>
  </si>
  <si>
    <t>Hugo Carretero</t>
  </si>
  <si>
    <t>Tenia cita a las 16:00.
Me costó aparcar y entre a la clínica a las 16:08. Según ellos, ya no me podian atender. Bueno, mejor, no me gusta que me atiendan con prisas.</t>
  </si>
  <si>
    <t>2025-09-25T14:14:54.823Z</t>
  </si>
  <si>
    <t>Mediten Clinics | Arona</t>
  </si>
  <si>
    <t>Av. Juan Carlos I, 38, 38650 Los Cristianos, Santa Cruz de Tenerife, Spain</t>
  </si>
  <si>
    <t>+34 922 16 67 68</t>
  </si>
  <si>
    <t>cita@costadejemedicalcentre.com</t>
  </si>
  <si>
    <t>chantal marshall</t>
  </si>
  <si>
    <t>I visited this clinic to have three moles removed with laser treatment. I booked the appointment through the Top Doctors platform (the only way to schedule with them), where I clearly stated that the reason for the visit was the removal of warts/moles. The platform requires you to pay €110 in advance to confirm the booking.
However, the consultation was extremely brief: the dermatologist simply told me which lesions could be removed and which could not. I left exactly as I came in — without any procedure being done — but €110 out of pocket just for that “assessment.”
They then gave me a very high quote for a treatment as common as mole removal with laser. I’ve attached the quote so you can draw your own conclusions.
To be fair, they applied a small discount, which I appreciated, although they pointed out that “they don’t usually do that.” Even with the discount, the final cost was still disproportionate — €825.
If you’re a tourist or live on the island, my advice is to look for alternatives either in your place of residence or at other clinics in the south of Tenerife. Personally, I would not return to this clinic after this experience.</t>
  </si>
  <si>
    <t>2025-08-01T12:06:01.797Z</t>
  </si>
  <si>
    <t>Vicky Abrath</t>
  </si>
  <si>
    <t>I would not recommend this clinic. They ask 70€ for a consult and 30€ per prescription. The doctor doesn’t speak English and wasn’t helpful nor friendly at all. He was asking for my private medical history from behind the receptionist desk. There was no privacy or discretion at all.</t>
  </si>
  <si>
    <t>2025-09-02T08:39:22.457Z</t>
  </si>
  <si>
    <t>Oxia</t>
  </si>
  <si>
    <t>Carrer Major, 32, 17520 Puigcerdà, Girona, Spain</t>
  </si>
  <si>
    <t>+34 972 14 16 89</t>
  </si>
  <si>
    <t>N/A</t>
  </si>
  <si>
    <t>Ana Muñoz Fernández</t>
  </si>
  <si>
    <t>Aquest número no correspon al dermatòleg.</t>
  </si>
  <si>
    <t>2016-04-24T20:39:06.519Z</t>
  </si>
  <si>
    <t>Dermañueco</t>
  </si>
  <si>
    <t>C. Corín Tellado, 20, Gijon-Este, 33204 Gijón, Asturias, Spain</t>
  </si>
  <si>
    <t>+34 684 64 26 73</t>
  </si>
  <si>
    <t>clinica@dermanueco.com</t>
  </si>
  <si>
    <t>carmen fernandez maseda</t>
  </si>
  <si>
    <t>En 2021 fui a esta profesional por un problema bastante importante de acné, del cual quede satisfecha. Pero este mes de julio acudí por un problema capilar, se me diagnostico alopecia androgenética sin solicitarme analítica si quiera, ni pedírmelas ya que tenia hechas precisamente por este tema, me parece poco serio que se te recete cápsulas de minoxidil órales de manera crónica sin ni siquiera ver una analítica de perfil hormonal y asegurarse del origen de la problemática, incluso hablarme de inhibidores andrógenos…Ademas 120 euros de consulta por 10 min me parece bastante vergonzoso.</t>
  </si>
  <si>
    <t>2024-07-11T16:28:49.185Z</t>
  </si>
  <si>
    <t>ANA MARIA SAN JOSE GRAÑA</t>
  </si>
  <si>
    <t>Fui para eliminar una mancha, me cobraron 100 euros por informarme sobre un tratamiento laser que no deseaba hacer en absoluto. Lo que quería era  quitarla. Me cobró consulta solo por darme una información no deseada y salí igual que entré sin solución y pagando. No me parece seria ni profesional su respuesta de la financiación.</t>
  </si>
  <si>
    <t>2021-06-24T16:09:25.295Z</t>
  </si>
  <si>
    <t>ladylady</t>
  </si>
  <si>
    <t>Me a borrado mi comentario..que fuerte! Pues lo volveré a poner...
Me hizo además de mal diagnóstico..me recetó uas cremas que tengo receta aún y fotografías de mi cabeza y cara y además de que no me sirvieron para nada...me puso aún peor...quise volver a la consulta y me cobraba otros 100 euros por consultar algo que me recetó me hizo mal y no me sirvió ..sino al contrario...para mí muy mal...pero la vida dachas vueltas...
A poder ser no borres mi comentario..ya sabes quién soy...</t>
  </si>
  <si>
    <t>2022-02-09T13:34:29.100Z</t>
  </si>
  <si>
    <t>Carolina Novoa</t>
  </si>
  <si>
    <t>MALA PROFESIONAL, NO RECOMENDABLE
Siempre tuve la piel sensible, desde pequeña me salían eccemas y erupciones. No le di mucha importancia cuando era más joven, pero con los años empiezas a prestar más atención a tu piel y tu salud en general, así que decidí acudir al médico por un exceso de sebo en la barbilla y unas rojeces en el contorno de la cara. Él me derivo a dermatología 2 meses después. La doctora Amaya Mañueco Unzue me dio un trato pésimo, no fue nada informativa, no respondió a mis consultas, no me explicó las causas de mi afección ni los factores que podrían mejorarla o empeorarla. Tuve que insistirle varias veces para que me dijera que le pasaba a mi piel en 2 áreas distintas. La única pregunta que me hizo fue que champú usaba,  le dije que uno ecológico y que no recordaba la marca. Siguió escribiendo en su ordenador sin mirarme (como hizo desde que entré) sin darme pauta alguna, ni preguntarme nada, si fumaba, bebía, dinámicas alimenticias, horas de sueño... nada (factores que los dermatólogos están artos de decir que afectan directamente al estado de la piel). Cuando le pregunté amablemente si existía alguna opción más natural al champú que me estaba recetando, me dijo que no tajantemente, que ellos 'no tenían cosas naturales' de malos modos. Le pregunté si el diagnóstico iría escrito en un papel (para poder buscar alguna alternativa más natural por mi cuenta) a lo que contestó 'no damos papel porque no queremos destruir el Amazonas' en tono de sorna. Mi experiencia fue pésima y no le recomiendo a nadie que deposite su confianza, sobretodo en temas de salud, en un dermatólogo que solo trata y asesora bien a sus paciente cuando le pagan por una consulta privada....</t>
  </si>
  <si>
    <t>2018-02-08T13:52:01.659Z</t>
  </si>
  <si>
    <t>Ana Rendueles</t>
  </si>
  <si>
    <t>Fui por un problema de espinillas, no me dio ninguna solución estuvo 5 minutos conmigo y me cobro la consulta 100 euros ...osea que marche como entre pero sin 100 euros menos</t>
  </si>
  <si>
    <t>2020-12-06T18:58:08.743Z</t>
  </si>
  <si>
    <t>Rebeca Álvarez Martín</t>
  </si>
  <si>
    <t>No cogen el teléfono ni devuelven la llamada…</t>
  </si>
  <si>
    <t>2024-06-26T14:26:00.579Z</t>
  </si>
  <si>
    <t>Susana Alvarez</t>
  </si>
  <si>
    <t>Hace años me diagnosticaron alopecia androgenética y me dijeron que necesitaba Minoxidil dos veces al dia de por vida y que mi pelo "podría como mucho mantenerse en el estado que estaba pero no iba a mejorar, que se seguiría cayendo". Menos mal que fui a otro dermatólogo que me dijo que no era alopecia y que podría recuperar mi pelo. Seis años después recupere todo el pelo que se me había caído, incluso diría que tengo más; y desde luego no tenía alopecia androgenética</t>
  </si>
  <si>
    <t>2026-07-09T18:47:22.844Z</t>
  </si>
  <si>
    <t>F Elma</t>
  </si>
  <si>
    <t>2022-06-14T11:46:27.395Z</t>
  </si>
  <si>
    <t>arena arena</t>
  </si>
  <si>
    <t>Encuentro difícil contactarlos ,no contestan al teléfono y el buzón está siempre  lleno</t>
  </si>
  <si>
    <t>2025-06-03T08:04:31.309Z</t>
  </si>
  <si>
    <t>For Your Health Clinics</t>
  </si>
  <si>
    <t>C. María Zambrano, 1, 33401 Avilés, Asturias, Spain</t>
  </si>
  <si>
    <t>+34 985 52 61 62</t>
  </si>
  <si>
    <t>recepcion@clinicasportusalud.com</t>
  </si>
  <si>
    <t>fredy suarez alonso</t>
  </si>
  <si>
    <t>Hay en recepción una tal Minerva súper  mal educada, que habla como si te estuviera gritando y  con muy poco empatía con el paciente, una pena que la clínica tenga entre sus empleados a gente  que no disfruta de su trabajo , por lo demás nunca tuve ningún problema con las demás chicas de recepción. Una pena que por una persona  tan mal encarada la clínica pueda quedar mal y perder pacientes.. en fin…</t>
  </si>
  <si>
    <t>2026-07-06T12:22:06.615Z</t>
  </si>
  <si>
    <t>Sergio Garcia</t>
  </si>
  <si>
    <t>4 meses para dar una cita con el dermatólogo porque voy de imq. Si pagas te atienden más rápido.</t>
  </si>
  <si>
    <t>2026-06-18T10:49:18.411Z</t>
  </si>
  <si>
    <t>Jose Augusto Regedor Marcos</t>
  </si>
  <si>
    <t>Cola para dar datos y esperas para ser atendido vale, pero después de ser atendido te vuelves a la cola para entregar el papel que te firma el doctor, otra media hora de cola , una sola persona para todo..</t>
  </si>
  <si>
    <t>2026-02-05T07:44:21.260Z</t>
  </si>
  <si>
    <t>Sonia Alvarez</t>
  </si>
  <si>
    <t>Vergonzoso el tiempo que te hacen esperar. Dan citas que no cumplen.
Y da igual el médico. Hace un mes tuve que marchar sin que me atendieran después de 1 hora de espera. Hoy con otro médico igual. De pena, y de mal en peor por lo que veo. Deberían tomar cartas en el asunto. Esto de jugar con el tiempo de los demás con tanta ligereza es de vergüenza</t>
  </si>
  <si>
    <t>2025-11-10T15:45:38.339Z</t>
  </si>
  <si>
    <t>Míriam Cano García</t>
  </si>
  <si>
    <t>Llevaba tiempo acudiendo pero estoy muy decepcionada con la atención recibida en este centro médico. Tenía una cita programada con mi ginecóloga, fundamental para mi seguimiento de embarazo, y cuando llegué al centro a mi cita (no soy de Avilés) me informaron que había sido anulada porque la doctora ya no trabaja allí. Supuestamente, me habían llamado para avisarme, pero eso es completamente falso: no recibí ninguna llamada ni mensaje por ninguna vía.
Me parece una falta de respeto y de profesionalismo, sobre todo tratándose de una paciente embarazada. Me hicieron perder el tiempo y no mostraron ninguna empatía ni solución en el momento, simplemente , darme una cita para dentro de 20 días con una ginecóloga nueva, lo cual, creo que no es la mejor solución. No es aceptable que gestionen así la atención médica, menos aún en casos tan delicados como un embarazo.
No recomiendo este centro médico y lamentablemente he tenido que buscar atención en otro lugar donde sí valoren y respeten a sus pacientes, sin mentir.</t>
  </si>
  <si>
    <t>2025-07-04T06:07:14.656Z</t>
  </si>
  <si>
    <t>Marcos da Silva Joyanes</t>
  </si>
  <si>
    <t>Para que me hagan una analítica, primer día esperando en la consulta 1.35 min, el segundo día 45 min para que te hagan una extracción de sangre para la analítica y para que me de los resultados 40 min de espera en la sala y marché porque no quiero perder otra tarde... No vuelvo más. Ya había puesto una reseña y me llamaron amablemente para ver si la quitaba, pero esta vez, se pueden ahorrar la llamada.
Los recepcionistas muy majos, eso sí</t>
  </si>
  <si>
    <t>2025-05-27T15:56:07.747Z</t>
  </si>
  <si>
    <t>Pelayo Rodriguez</t>
  </si>
  <si>
    <t>En primer lugar, soy Miriam y tengo que escribir esta reseña desde la cuenta de mi marido porque se me ha deshabilitado dicha opción.
Todo lo que están diciendo es mentira. Tengo mensajes de WhatsApp donde me han informado de citas anteriores, y también SMS de recordatorios y anulaciones. Así que resulta poco creíble que “casualmente” ahora no hayan podido comunicarse conmigo por esos medios.
Afirmar que llevan semanas intentando localizarme sin éxito cuando no he recibido ni una sola llamada, mensaje o intento de contacto demuestra una grave falta de profesionalidad. No se puede justificar una mala gestión inventando excusas técnicas o culpando al paciente.
Además, decir que tengo bloqueado el WhatsApp cuando tengo mensajes anteriores suyos contradice directamente lo que afirman. Si realmente hubieran querido evitarme el desplazamiento, lo habrían hecho como otras veces: escribiéndome o llamándome, como ya tienen por costumbre.
Mi reseña refleja una experiencia real, no una opinión infundada, y tengo todo el derecho a compartirla sin que se me desacredite públicamente.
Descuiden, no volveré a su clínica.</t>
  </si>
  <si>
    <t>2025-07-05T12:47:09.036Z</t>
  </si>
  <si>
    <t>Sonia Suarez Pastur</t>
  </si>
  <si>
    <t>Les tuve que poner una reclamación porque tras llamarme dos veces para confirmar la cita y decir cual es mi seguro, cuando llego a la consulta (30 km de desplazamiento) me dicen que el doctor no trabaja con ese seguro.
Les he puesto la respuesta pertinente en consumo y alegan que no comenté el seguro, cuando en realidad lo dije por 2 veces.
No recomiendo a nadie ir, ya que no son de palabra. Se rieron de mi en la cara.</t>
  </si>
  <si>
    <t>2025-04-04T17:59:19.074Z</t>
  </si>
  <si>
    <t>Eduardo González</t>
  </si>
  <si>
    <t>Ya me ha pasado en dos situaciones lo mismo por lo que entiendo que es su forma de trabajo.
Al hablar con ellos y solicitarles un análisis de sangre no saben darte una estimación de lo que pueden tardar los resultados.
Entiendo que lo tienen que enviar a una empresa externa y no depende de ellos pero es algo que, doy por hecho, hagan a diario...y que no te sepan decir si tarda un día, una semana o dos...
Con la consulta de fisioterapia me ocurrió hace tiempo lo mismo .
Solicitas consulta y no te dan una orientación....que lo mismo tarda una semana que dos meses.
Que no depende de ellos, que si renuevan o no algún paciente... Disculpas o una forma de trabajar (como dicen ellos ) bastante lamentable. Por no hablar de alguna de las fisioterapeutas que se divierte burlándose de los pacientes y cogiendo confianzas que muchos no le dan.</t>
  </si>
  <si>
    <t>2024-06-26T06:46:14.988Z</t>
  </si>
  <si>
    <t>Pablo Sotelo</t>
  </si>
  <si>
    <t>SERVICIO DE TRAUMATOLOGÍA VERGONZOSO. Tuve una primera experiencia por una dolencia en un hombro, y no quede muy satisfecho, pero decidí dar una segunda oportunidad. Acudo a consulta con dicho especialista por una dolencia con inflamación en el codo. Tras menos de un minuto( por reloj) en la consulta, sin que me toque ni me haga las mas mínima prueba o por lo menos restricción movilidad o dolor en algún gesto concreto….. nada de nada. Me dice que es una bursitis que no haga planchas ni nada en el gimnasio que pueda comprometer el codo, que ponga hielo y antiinflamatorios y que la fisioterapia para esa dolencia no vale para nada; que si sigue creciendo que se puede quitar líquido pero que es muy peligroso por riesgo a que se infecte( salí de ahí  que no daba crédito).
Evidentemente fui a mi fisio habitual, después de testarme con movimientos en todos los ángulos de movilidad y presión en ciertos puntos, me hizo ecografía, y tengo la bursa perfecta, lo que tengo es un problema en el tendón en la zona de inserción del codo, que ya esta en tratamiento, y con buen pronóstico de mejoría.
Como para quedar con diagnóstico del traumatólogo.
La verdad que pagar un seguro de salud y  ver este tipo de actuaciones, es de traca.</t>
  </si>
  <si>
    <t>2025-02-27T08:54:34.620Z</t>
  </si>
  <si>
    <t>María LO</t>
  </si>
  <si>
    <t>Simplemente indescriptible...acudo previa cita con la enfermera a hacerme una analítica para prueba de alimentos (totalmente privada). Me atiende el médico (Luis Angel García) extrañamente para realizar la analítica, y le comento que debido a mi situación personal y de salud, me tienen que hacer la extracción desde la mano. Con tono altivo, de superioridad y totalmente déspota me dice que me siente que "el sabrá". Ante mi negativa me dice que el que manda es el médico (parece ser el dueño de mi cuerpo...) y que si no me voy a dejar pinchar en el brazo que me vaya, que no hay ninguna otra persona que me vaya a atender (estando la enfermera presente). Este individuo en todo momento nos atendió sin identificación, sin bata y con un talante propio de los años en los que gobernaba el caudillo.
Evidentemente se tramitó queja por escrito a la Consejería, mientras la cual, este individuo salió de su consulta a increparnos, haciendo saber que el era el doctor (como si fuera el rey del mambo).
Es una pena que el resto de profesionales de la clínica tengan que trabajar y convivir con un impresentable como este. No hay que investigar mucho para saber cómo fue la trayectoria de su anterior clínica...</t>
  </si>
  <si>
    <t>2024-09-13T11:42:33.739Z</t>
  </si>
  <si>
    <t>Isabel</t>
  </si>
  <si>
    <t>Lamentable. Una hora antes de mi consulta me llaman para concertar una nueva cita porque el traumatologo se encuentra de baja y les digo que me encuentro en el tren precisamente camino de la clínica después de pedir el día y hacer más de 70 km para nada. Les digo que si me puede ver otro de sus traumatologos y me dicen que no.</t>
  </si>
  <si>
    <t>2024-08-06T09:00:27.485Z</t>
  </si>
  <si>
    <t>Mery Caliero</t>
  </si>
  <si>
    <t>Malísimo el dermatologo. No da soluciones, lo único que sabe hacer es dar muestras gratuitas pero el problema sigue ahí. No se molesta nada, en 5 minutos te despacha. La clínica es una maquina de hacer dinero. El trato de recepción muy bueno sí, pero el que tiene que ser bueno es el médico.</t>
  </si>
  <si>
    <t>2024-02-04T09:21:42.134Z</t>
  </si>
  <si>
    <t>Omar M.M.</t>
  </si>
  <si>
    <t>Estuve acudiendo a esta clínica por temas de fisioterapia y traumatología durante bastantes meses hace tres años.
Resaltar, que el Dr Miguel Ángel Suárez es lo más desagradable que me he cruzado como traumatólogo. Además de decirme que "tenía que aguantarme que no se podía hacer nada". Cierto, él no podía hacer nada, otros han podido.
Destacar sus malas formas, y ganas de no responder mis preguntas como paciente, además de su soberbia cuando le preguntabas (parece que se sentía cuestionado ante mis dudas).
La fisioterapia, de risa. Electroterapia pura y dura, hacer sesiones por hacer, sin solucionar para nada ninguno de los problemas. La organización de asistencia a la fisioterapia muy mejorable. En otros centros son mucho más flexibles, te dejan acudir unos días de mañana o tarde o al menos por semanas. Aquí no me dejaron, y me fue bastante complicado acudir a varias citas por no poder compaginar bien con el trabajo o por las limitaciones físicas.
No la recomiendo en fisioterapia y traumatología. Cualquier otra opción será mejor.</t>
  </si>
  <si>
    <t>2020-10-20T17:10:03.522Z</t>
  </si>
  <si>
    <t>Becky Rc</t>
  </si>
  <si>
    <t>Mi experiencia es fatídica. Me parece una estafa muy importante cobrar lo que se cobra por la pésima calidad de algunos de sus productos.
He echo solo la primera fase, y emocionalmente es nefasta.
No se la recomendare a nadie nunca jamás , bajarás de peso (que tampoco es que sea la De Dios)pero bajas calidad de vida totalmente porque estás amargado y con más hambre que nunca.
La nutricionista que me “asesoró” con los productos, parecía que le debían dinero y no se lo pagaban.
Llamo un día para preguntar dónde está mi pedido y me dicen lo mismo que pone en la web (que leer se).
La única persona que merece la pena en todo esto, se llama Estefanía que te atiende desde madrid cuando llamas para pedir información. Esa chica es maravillosa . Lo único que merece la pena en todo esto.</t>
  </si>
  <si>
    <t>2023-01-24T14:18:29.613Z</t>
  </si>
  <si>
    <t>Javier García Fernández</t>
  </si>
  <si>
    <t>Hace cuatro años, con motivo de un accidente de tráfico, me hicieron una rehabilitación demoledora, con aplicación de infrarrojos y fisioterapia al efecto, pero con consecuencias desastrosas. Tuve que abandonar el tratamiento. Todo por querer ahorrarse más de 60 horas de rehabilitación.</t>
  </si>
  <si>
    <t>2023-07-17T09:34:48.126Z</t>
  </si>
  <si>
    <t>iPhone X</t>
  </si>
  <si>
    <t>Nuestra experiencia fue desastrosa por el caos y retraso sufrido en los dos serviciaos que tuvimos que usar. Tarde mal tanto en lo burocrático como en la atención al paciente y no por los profesionales que nos atendieron, en mi opinión por falta de personal y la alta carga de trabajo que tienen los dos servicios.</t>
  </si>
  <si>
    <t>2022-02-04T07:27:50.739Z</t>
  </si>
  <si>
    <t>7078 fjd</t>
  </si>
  <si>
    <t>He intentado ponerme en contacto con ustedes hoy martes 29/11/21 ayer lunes el viernes, jueves, miércoles, martes y lunes realizando cinco llamadas por día y variando las horas de llamada para combinar distintas horas. Nada.
Es imposible contactar con ustedes.
Ahora me pondré con otra clínica a ver si tengo más suerte.</t>
  </si>
  <si>
    <t>2021-11-30T10:13:51.604Z</t>
  </si>
  <si>
    <t>Inma A R</t>
  </si>
  <si>
    <t>No creo que esté bien organizada la entrada y salida de pacientes, todos juntos en un espacio muy pequeño.
Ni por el Covid ni por la privacidad de la gente que acude.</t>
  </si>
  <si>
    <t>2022-01-02T19:25:40.116Z</t>
  </si>
  <si>
    <t>R A</t>
  </si>
  <si>
    <t>Horrible el médico no se ciñe a la lista en orden de llegada. Va pasando a la gente según su amistad. Si no lo conoces iras el ultimo</t>
  </si>
  <si>
    <t>2024-07-25T08:24:45.762Z</t>
  </si>
  <si>
    <t>Institut Dermatològic Girona</t>
  </si>
  <si>
    <t>Carrer de la Creu, 52, Entlo, 1ª, 17002 Girona, Spain</t>
  </si>
  <si>
    <t>+34 972 41 27 42</t>
  </si>
  <si>
    <t>Brett Adams</t>
  </si>
  <si>
    <t>The Worst Dermatologist Experience I’ve Ever Had
I’ve been meaning to write this review about Dr. Folawiyo for months, and I regret not warning others sooner. I went in for something incredibly simple — a small wart removal on my elbow — and it turned into an absolute nightmare.
From the moment he saw me, I had a bad feeling. His attitude was arrogant, dismissive, and aggressively overconfident. I should have walked out, but I needed the wart removed and foolishly assumed nothing could go too wrong with such a basic procedure. I could not have been more mistaken.
He removed the wart in a matter of minutes with zero care, zero explanation, and absolutely no professionalism. There were no proper aftercare instructions — just a generic printout telling me to buy a cream. That was it.
Within days, the area became infected. It took more than two months to heal and has left a permanent, ugly scar on my elbow. All because of his careless, rushed approach and total disregard for patient well-being.
In my opinion, he should not be practicing at all. If I’d had the time and energy, I would have reported him to the Spanish health authorities.
Do yourself a favour: avoid this dermatologist at all costs. There are plenty of professionals out there — he is not one of them.</t>
  </si>
  <si>
    <t>2025-10-17T12:06:13.469Z</t>
  </si>
  <si>
    <t>Casa</t>
  </si>
  <si>
    <t>Crec que haurien de triar millor les noies que están a la Recepció i agafen el telefon . Son molt mal educades i molt prepotents. Han perdut una pacient per les noies aquestes.</t>
  </si>
  <si>
    <t>2026-04-24T16:47:33.088Z</t>
  </si>
  <si>
    <t>JORDI PLA</t>
  </si>
  <si>
    <t>Gtacias a las reseñas, no voy a pedir hora, pero sobretodo por las respuestas a las reseñas, que la persona que las realiza tienes menos educacion que la frutera de la esquina, con todo mi respeto a las fruteras</t>
  </si>
  <si>
    <t>2026-07-25T23:02:11.620Z</t>
  </si>
  <si>
    <t>Alicia Molins</t>
  </si>
  <si>
    <t>La peor visita de mi vida. He ido a este dermatólogo porque es el que me daba hora más pronto. No había leído reseñas antes, pero después de la visita me he puesto a leer y es todo cierto. El doctor Folawiyo es un maleducado y descarado, le he empezando explicando que fui a otro medico y directamente me ha cortado y me ha dicho que no le interesaba, que le contara que me pasaba. He procedido a contárselo y le quería enseñar fotos y casi no me deja ni enseñárselas. Luego me ha dicho que buscara lo que tenia en internet, señor si yo acudo a su consulta es para que usted me de una solución no para que me diga: “busca en internet”. Luego se ha ido como 5 minutos porque le traían un paquete de Amazon, y digo yo para que están las chicas de recepción? Si estas trabajando estas a lo que estas, no pendiente a otras cosas ajenas porque la demás gente también tiene cosas que hacer, a parte de que me han cogido 30 minutos tarde. Cuando a vuelto se ha puesto a mirarme el móvil preguntándome si había consultado lo que me pasaba en internet. Seguidamente me ha empezado a recetar cremas y yo preguntándole sobre como tenia que aplicarlas y él respondiéndome como si yo ya tuviera que saber como va todo. Después  le he preguntado otra cosa y me dice “no me estás entendiendo” pues para eso vengo para que me expliques no para que me hables con prepotencia y descaradamente. Me he ido con ganas de llorar. Lo que me ha prescrito no se si va a funcionar o no pero el trato nefasto, 0 recomendable.</t>
  </si>
  <si>
    <t>2026-02-09T15:26:01.424Z</t>
  </si>
  <si>
    <t>STEFANIA YANEZ VARGAS</t>
  </si>
  <si>
    <t>¡Mi experiencia en esto sitio ha sido malísima! Acudía hace un par de meses porque tenía una verruga en la mejilla y cuando pedí cita le dije a la recepcionista que tenía claro que me la quería quitar y que me de hora y me dijo que ningún problema, que ese mismo día me harían un estudio y que incluso se podía quitar ese mismo día. El precio de la cita fue 120€, dinero tirado ya que pagué para que me diga que me la iba a quitar en noviembre y que no tenía aparatología laser porque es muy cara, si por lo menos me hubiese escuchado atentamente el resto de problemas no me hubiese dolido tirar el dinero.
Lo peor es que desde su silla sentadito me miro por encima y me dijo lo que era, se levantó y dio por finalizada la cita, dándome otra cita para más adelante.
Al día siguiente tuve una conversación telefónica con el ya que aquel día de la visita no daba crédito de lo que pasó, y expuse mi descontento y me dijo que no iba a estar media hora para una cosa tan sencilla (para la otra clínica que finalmente me dio la solución si era una cosa sencilla y me quitó la verruga ese mismo día). Con ese tipo de respuesta quedó claro que este señor no empatiza con sus pacientes, ni se molesta en escuchar y dar soluciones, al menos a mi no me las dio o quizás no era su mejor día.
En conclusión, no se la recomiendo a nadie.</t>
  </si>
  <si>
    <t>2025-04-27T16:10:30.286Z</t>
  </si>
  <si>
    <t>Antonio Coloma</t>
  </si>
  <si>
    <t>Le quitaron una berruga a mi hijo y nos dijeron que tenian que pasar 14 días para analizar esa muestra, y antes de tener los resultados nos piden 200€ más para realizar no se que otra prueba.
Les dije que me parecia un " saca dineros", que no lo entendia y se escusaban con que era una observacion del laboratorio.
Al final me volvieron a llamar para decir que todo estaba bien y que no era necesario hacer más pruebas.
OJO CON LOS TIMOS</t>
  </si>
  <si>
    <t>2025-06-06T10:44:24.882Z</t>
  </si>
  <si>
    <t>Estefanía Yáñez Cano</t>
  </si>
  <si>
    <t>Me he sentido totalmente estafada, 120€ por 10 minutos de consulta para que me traten de tonta porque lo que le pasa a mi hija es normal: "mamá, no lees? Infórmate"
Y buscaba dermatólogo porque la pediatra me lo recomendó.
Deberian revisar cada caso, porque me ha parecido muy abusivo.</t>
  </si>
  <si>
    <t>2025-05-29T14:14:41.625Z</t>
  </si>
  <si>
    <t>Sofia Verdaguer Plana</t>
  </si>
  <si>
    <t>Hoy a sido mi primera visita y no la valoro muy positivamente. Como profesional sanitaria creo que es imprescindible la empatía y la escucha activa a todos tus pacientes. Al entrar a consulta me disponía a explicarle un poco mi situación que llevo arrastrando durante muchos  años y en menos de tres segundos me corta diciendo que a él nadie le explica nada, que solo quiere que le muestre por lo que he ido. Tengo que decir que el estado en el que se encuentra el paciente justo cuando entra a tu consulta puede ser muy distinto a lo que sufre diariamente, ya que puede influir muchos factores como la medicación y que si no dejas que tu paciente te explique, nunca vas a conocer. Voy a resumir mi primera sesión diciendo que no me he sentido escuchada, que me hacia preguntas que no entendía y que me hablaba en un tono irrisorio con el que no me he sentido cómoda.
No obstante, me ha dado una solución que agradezco mucho y deseo que me funcione.</t>
  </si>
  <si>
    <t>2024-02-01T16:19:20.408Z</t>
  </si>
  <si>
    <t>Arnau Bosch</t>
  </si>
  <si>
    <t>Folawiyo el peor doctor que he visto en toda mi vida, arrogante, descarado, no explica nada, cero profesional, parece que estés en una cámara oculta, te deja mal cuerpo, no debería ejercer. ¿Dónde habra conseguido la licencia? :/</t>
  </si>
  <si>
    <t>2025-10-28T16:18:14.664Z</t>
  </si>
  <si>
    <t>Susana</t>
  </si>
  <si>
    <t>La persona que agafa el telèfon, es una maleducada.
Les coses no es fan així.
Ahir vaig intentar agafar hora i em va parlar d'una manera molt prepotent, no em va deixar ni explicar-me. Quan ho vaig intentar em va tallar dient-me "que es d'una mutua o particular?" i li vaig dir particular acte seguit em va dir "la visita costa 120€, la vol o no?".
Això no són formes de tractar a una potencial clienta.
I lo pitjor és que vaig trucar perquè em varen recomanar el lloc</t>
  </si>
  <si>
    <t>2024-07-11T15:43:23.039Z</t>
  </si>
  <si>
    <t>Luz Pimentel</t>
  </si>
  <si>
    <t>Gracias a Dios revise las reseñas iba a tomar cita prefiero seguir buscando la verdad</t>
  </si>
  <si>
    <t>2026-03-10T12:37:38.458Z</t>
  </si>
  <si>
    <t>Alba Ravetllat</t>
  </si>
  <si>
    <t>Muy mala.
Tenia un quiste que el médico ni si quiera me miró. Me mandó una eco y me cobraron una barbaridad por 5 minutos de visita.
No me solucionó nada y me dijo que podía ser algo malo.
A los días, fui a otra clínica para saber una segunda opinión, me pincharon con cortisona, el quiste desapareció y no me cobraron ni la mitad.</t>
  </si>
  <si>
    <t>2024-05-02T04:31:58.200Z</t>
  </si>
  <si>
    <t>Lissbeth</t>
  </si>
  <si>
    <t>Todo lo que dicen del doctor Folawiyo es cierto, tanto lo bueno como lo malo. Lo peor son las recepcionistas, maleducadas, poco profesionales, no te miran a la cara y te cuelgan el teléfono antes de acabar la consulta que tengas…sinceramente, me daría vergüenza tener a estas chicas trabajando para mi empresa… les falta formación y educación
Editado después de vuestra respuesta: EVIDENTEMENTE HE SIDO PACIENTE, SI NO NO HAGO RESEÑA....
Como podéis ver, en vez de aceptar la crítica y mejorar su servicio o asumir que no tratan bien a la gente, ponen en duda que yo haya sido paciente....</t>
  </si>
  <si>
    <t>2024-09-12T11:02:19.259Z</t>
  </si>
  <si>
    <t>Judith Vs</t>
  </si>
  <si>
    <t>Cada cop van a pitjor. Les de recepcio unes bordes!!! I si no vols perdre temps de la teva vida aquest no es el teu lloc, van ja dos vegades entre 1h i 1h.30 de espera. Evidentement aquesta a sigut la utltima vegada que torno aqui.</t>
  </si>
  <si>
    <t>2024-05-07T09:28:29.798Z</t>
  </si>
  <si>
    <t>Cie G L</t>
  </si>
  <si>
    <t>Le pire escroc que j'ai vu dans ma vie!
En déplacement professionnel à Girona, j'ai pris RDV auprès du DR. OLUMUYIWA FOLAWIYO pour traiter des condylomes. J'avais sur moi une ordonnance de mon médecin traitant datant du matin même. M. Folawiyo, ne m'a pas laissé parlé une seule fois, m'a demandé de lui montrer pourquoi j'étais là. Avec un air très désobligeant et désagréable, il m'a conseillé d'aller à la clinique de Barcelone pour me faire traiter au laser alors que mon médecin m'avait prescrit de la cryothérapie. Ne souhaitant pas m'écouter il a ordonné à sa secrétaire d'une façon dictatoriale et toujours désagréable, d'appeler la clinique de Barcelone, sans me demander si je pouvais y aller, ignorant mes questions. Le rdv a duré 3 min après 1h de retard. Le tout pour 120€! je suis reparti mort de honte de n 'avoir pas pu. en placer une, dégouté de son attitude et d'avoir jeté 120€ par la fenêtre et avec mes condylomes que j'irai faire soigner ailleurs. La pire expérience médicale de ma vie! fuyez!! Ce type ne devrait pas avoir le droit d'exercer son métier!</t>
  </si>
  <si>
    <t>2024-07-04T23:31:55.930Z</t>
  </si>
  <si>
    <t>Mònica Aymerich</t>
  </si>
  <si>
    <t>Molt malament. No agafen mai el telèfon i si hi insisteixes trucant s'enfaden. T'envien els resultats de les analítiques sense cap mena d'aclariment, no et donen instruccions després de la intervenció... Els doctors són bons, però el tracte del personal és terrible.</t>
  </si>
  <si>
    <t>2024-02-16T13:03:03.446Z</t>
  </si>
  <si>
    <t>SPQR56</t>
  </si>
  <si>
    <t>Atenció telefónica horrorosa! M’he visitat 3 vegades i sempre m’ha costat conectar. Entre avui i ahir he fet més de 20 trucades. Finalmen he pogut parlar. Un desinterés total. Unes dates que no anaven be, llavors dic “deixem-ho estar”; resposta: “ah! Vale!”
Increible!</t>
  </si>
  <si>
    <t>2023-11-16T09:08:43.053Z</t>
  </si>
  <si>
    <t>mireia zamorano</t>
  </si>
  <si>
    <t>tardan en cogerte y luego no te deja ni hablar, espere 15 días para los resultados y me mandó los de otro paciente, fallos pueden tener todo pero lo peor esque hace 3 meses le solicité el mío y aún sigo esperando, me visitio Folawiyo.</t>
  </si>
  <si>
    <t>2024-06-16T08:17:56.528Z</t>
  </si>
  <si>
    <t>Alba Fdez</t>
  </si>
  <si>
    <t>Decepcionante cuánto menos. He ido por un caso de dermatitis seborreica diagnosticada previamente por otro dermatólogo, y, sin apenas mirarme (literalmente me ha levantado un poco el pelo y ya está), el doctor decía que no, que era dermatitis atópica. Cuando le he dicho que me salen planchas rojas antes de empezar la descamación (cosa que hubiera comprobado él de primera mano si me hubiera mirado decentemente, dado que he ido con un señor brote donde tenía planchas rojas hasta en la frente), ha cambiado de opinión, afirmando que si tengo dermatitis seborreica. Se ha dedicado a explicarme el motivo por el cuál no puedo hacer nada al respecto, y me ha dado unas muestras de champú y gel de los cuales apenas me ha explicado nada. Una vez ha acabado la explicación, se ha levantado para irse y ya dar por finalizada la consulta, sin preguntar si necesitaba algo más (he tenido que decirle yo que, por favor, se esperase, ya que también quería que me mirara otras cuestiones). Literalmente, siento que he salido de consulta exactamente igual que como he entrado. Suerte que voy por mutua, porque ya me fastidiaría pagar la totalidad del precio de consulta por esta chapuza.</t>
  </si>
  <si>
    <t>2021-09-15T17:22:28.060Z</t>
  </si>
  <si>
    <t>encarni sanchez</t>
  </si>
  <si>
    <t>yo fui por  un problema vajinal  y me diagnostico sin mirarme  una inflamacion en el nervio pudento  ,diagnostico totalmente erroneo , fui a otro dermatologo  y acerto en el diagnostico.Comp pueden ser medicos  tener unos estudios y jugar con la salud de los pacientes es denigrante.</t>
  </si>
  <si>
    <t>2024-05-22T16:22:35.537Z</t>
  </si>
  <si>
    <t>Dermatologia Integral Girona</t>
  </si>
  <si>
    <t>Avinguda de Ramon Folc, 3, 1-2, 17001 Girona, Spain</t>
  </si>
  <si>
    <t>+34 678 95 83 05</t>
  </si>
  <si>
    <t>info@dermatologiaintegralgirona.com</t>
  </si>
  <si>
    <t>Mari Carmen Martínez Abadías</t>
  </si>
  <si>
    <t>El pasado dia 2 de Enero me visitó la Dra. Damont fui para quitarme unas verrugas, después del reconocimiento y ponerles nombre le pregunté que cuántas me podía quemar en esa consulta,me dijo que ninguna porque tiene artrosis en las manos y tiene miedo de quemar más allá de la verruga( Que hace ocupando ese lugar?)le pregunté si vendría otra persona para hacer el trabajo y me dijo que no😵‍💫 pregunté cuánto me costaría esa visita, en la que me iba como había llegado y me dijo que 120€. En un principio tuve la intención de irme sin pagar porque me pareció una tomadura de pelo, al final pagué indignada, sintiéndome engañada. Pagué los 120€ no me dieron ningún recibo. Al llegar a casa frustrada llamé y hablé con la recepcionista que me dijo que en la primera visita normalmente no hacían nada, nunca me había pasado algo parecido siempre pagué a cambio de un servicio. Una vergüenza de lugar.</t>
  </si>
  <si>
    <t>2025-01-09T17:35:58.841Z</t>
  </si>
  <si>
    <t>Clara Alabert</t>
  </si>
  <si>
    <t>Tracte desagradable, la Dra. Damont i la seva secretaria, Maite, ens han tractat d’una manera  horrible. Després de pagar 120€ per una visita on tampoc han resolt el meu problema, ens sentim estafats. No recomanem gens aquest centre, els pitjor metge i la pitjor atenció que he rebut mai.
La doctora, enlloc de tractar el meu problema, s’ha passat tota l’estona de consulta explicant-me anècdotes i batalletes de la seva joventut que no venien a propòsit de res. He sortit de la consulta sense cap indicació ni diagnòstic, i al voler fer més preguntes ens han fer fora de la consulta desagradablement, tant ella com la secretària.
No invertiu en aquesta Doctora. Està tan vella que no sap ni què diu, divaga durant la teva consulta i tan sols està aquí aprofitant per treure quartos a la gent. Una vella desmillorada que hauria de fer més de 10 anys que fos jubilada.
Quan vas a una consulta exclusivament privada, pagant aquest preu, el que esperes és rebre una atenció propera, empàtica i amable. En aquest cas ha estat tot al contrari, arribant a ser aquestes persones fins i tot mal educades i impertinents amb nosaltres.</t>
  </si>
  <si>
    <t>2024-07-02T10:40:15.193Z</t>
  </si>
  <si>
    <t>Adrian Moreno</t>
  </si>
  <si>
    <t>VAYA TRATO MÁS LAMENTABLE.
La recepcionista que coge el teléfono ha sido muy antipática. Le hemos dicho si por favor podíamos entrar dos personas con mi hija y con mucha bordearía ha dicho que no.
Luego hemos vuelto a llamar para poder hablar con la doctora y directamente me ha cortado diciendo que tiene faena y encima no me ha dejado hablar directamente con ella.
He anulado la visita directamente.</t>
  </si>
  <si>
    <t>2022-07-01T14:33:14.049Z</t>
  </si>
  <si>
    <t>Laura Simon</t>
  </si>
  <si>
    <t>Via WhatsApp em van confirmar que em podrien treure una piga (prèviament els hi havia passat fotografies). Em presento el dia de la cita i la doctora em diu que no es pot fer (quan ja m'havien confirmat que sí). Li vaig comentar que abans de venir ja m'havien dit que sí es podia fer i jo venia amb la idea de fer la intervenció). Tot i així em van cobrar 70€.</t>
  </si>
  <si>
    <t>2021-12-14T05:15:55.852Z</t>
  </si>
  <si>
    <t>Victoria Caballero</t>
  </si>
  <si>
    <t>En el mes de febrero acudí a la Clinica para hacerme un combo de una promoción de IPL + Hydrofacial. Pague por la promoción 250€.
El día de la cita al llegar a la Clínica me atiende una persona que me pregunta mi nombre, luego me hacer pasar a la sala de espera y me hace rellenar un formulario.
Acto seguido me lleva a otra oficina donde una chica, que es la que aplica el IPL, me explica más o menos cómo es el tratamiento. Cabe aclararar que esta chica no es dermatóloga,
es una estudiante de medicina que ha sido contratada para realizar este tipo de tratamiento con previa preparación por supuesto.
Nadie, ninguna dermatóloga del centro me revisó antes de hacer el tratamiento para ver el tipo de manchas que tenia en mi rostro y verificar si el IPL era correcto, no se me explicó consecuencias del mismo, nada de nada.
Antes de realizarme el IPL me tomaron fotos de mi rostro con las manchas que tenia por lo cual  sobre entendí entonces que pasado cierto numero de días me volverían a sacar las fotos post tratamiento.
Al terminar los dos tratamientos el día de la visita pregunté a la chica que me realizó el IPL cuándo iban a hacerme las fotos o el control post tratamiento, me dijo que alguien me contactaría o que yo enviara directamente las fotos
por mi cuenta. Esta respuesta ya me pareció rara.  Me aclaró tbien que de todas maneras los resultados se verían a los 10 días del tratamiento.
Pasaron 16 días del tratamiento y en mi cara seguían exactamente todas las mismas manchas. Entonces contacté vía whatsapp preguntando cuándo me iban a llamar para saber el resultado del tratamiento y la persona que responde los mensajes me dice que los resultados se aprecian al mes del tratamiento y que ya me contactarán. No era esto lo que me habían dicho el día de la cita. Al pasar un mes me contactan vía whatsapp con este msj :
"Buenos días, ha pasado un mes del tratamiento, como està??". Les explico entonces que estoy decepcionada porque el tratamiento no ha funcionado, que no me han contactado para hacer un seguimiento, etc, etc. El mensaje fue leído pero jamás recibí una respuesta de nadie de la clínica por el whatasapp. Sin embargo una de las Dras de la Clinica le dijo a la chica que me hizo el tratamiento que me contactara ella y me dijera que si quería podía volver a la Clínica a hacerme
otra aplicación más del IPL pagando nuevamente 80€ o algo así.
La verdad que muy decepcionada con todo el trato recibido por la gente de esta Clinica, cero profesionalidad y seriedad. A ellos les interesa vender tratamientos y promociones, facturar y listo, luego se desentienden de los pacientes que más que pacientes son meros clientes.</t>
  </si>
  <si>
    <t>2023-04-20T19:33:40.829Z</t>
  </si>
  <si>
    <t>Nati Berzal</t>
  </si>
  <si>
    <t>La doctora un 10 , la recepcionista deja mucho que desear. Pero por lo  que veo por los comentarios , está señora es su manera de actuar. Centros dermatológicos hay muchos. No me gusta la manera que tienen de gestionar las visitas , eso sí visitas a 120€.</t>
  </si>
  <si>
    <t>2023-02-28T16:05:56.193Z</t>
  </si>
  <si>
    <t>César Sánchez</t>
  </si>
  <si>
    <t>Una auténtica vergüenza. Cita con la Dra. Clara Matas. 15 minutos y 120€ después te vas igual que entras. Va mi chica por una mancha en el bigote. La doctora simplemente le dice que la crema que se estaba echando ya es suficiente o que compre una fórmula en noviembre. Si no me fallan los cálculos de 3o de primaria esta chica factura la hora a 480€, nada mal para un consejo que hoy en día te da hasta Gemini</t>
  </si>
  <si>
    <t>2026-07-10T11:39:39.932Z</t>
  </si>
  <si>
    <t>Lluís Fernández Mundet</t>
  </si>
  <si>
    <t>Bé,se que e anat sense cita, pero per mi era urgent.
No m,an atès.</t>
  </si>
  <si>
    <t>2024-07-03T09:30:16.262Z</t>
  </si>
  <si>
    <t>Enriqueta pla rodas</t>
  </si>
  <si>
    <t>Molt ben atesa per la Doctora, tractament del problema amb encert
Encertat Mb</t>
  </si>
  <si>
    <t>2022-06-02T18:03:23.085Z</t>
  </si>
  <si>
    <t>QUINTANA DOCTORS</t>
  </si>
  <si>
    <t>Carrer Ibèria, 12, Baixo B, 17005 Girona, Spain</t>
  </si>
  <si>
    <t>+34 972 24 51 80</t>
  </si>
  <si>
    <t>Vanessa</t>
  </si>
  <si>
    <t>Quise quitarme una mancha en una zona visible con nitrogeno, él insistió con láser, pero yo no lo quise, a parte que en otra ocasión y otro doctor me quitó una mancha con nitrogeno y quedó muy bien. Como no sé salió con la suya, se excedió de nitrógeno provocando una quemadura tan grande que ahora tengo una mancha aún más pronunciada ( recordemos que es en una zona visible)
No sé preocupó en ningún momento de visitarme otra vez para ver el estropicio que hizo. Me hizo comprar una crema que aún me perjudicó más. Y tampoco se preocupó de como iba evolucionando. Yo seguiré perpetuamente con mi mancha</t>
  </si>
  <si>
    <t>2026-04-06T17:33:32.663Z</t>
  </si>
  <si>
    <t>Llorenç Troyano Dominguez</t>
  </si>
  <si>
    <t>Realment molt malament, cinc minuts de visita 80€, vol dir que la tarifa es de 960€ l'hora, increïble.</t>
  </si>
  <si>
    <t>2026-05-08T15:23:24.720Z</t>
  </si>
  <si>
    <t>David</t>
  </si>
  <si>
    <t>Cuidado ADESLAS[SERVICAIXA] MUFACE, despues de coger cita esperar 3 meses de" lista de espera" y desplazarme 40kilometros, me dice la señora una vez allí que no aceptan MUFACE de hace 5 años. La telefonista-recepcionista me aseguró que sí...PONED GENTE COMPETENTE AL TELEFONO  a mi me ha hecho perder 3meses y 80km de gratis...Mucha atencion con esto.</t>
  </si>
  <si>
    <t>2026-02-06T18:39:52.060Z</t>
  </si>
  <si>
    <t>Leire Garcia</t>
  </si>
  <si>
    <t>La experiencia con el doctor excelente. Me retrasé una hora a la visita y llamé para avisar que no podía ir,  la recepcionista fue muy tajante y maleducada conmigo, me contestó de muy malas maneras. Me pregunto cuál fue mi motivo para faltar repetidamente, aunque le dijera que había sido una emergencia personal. Me dijo que el doctor había estado esperándome más de media hora y me llamó varias veces al teléfono. Lo noto excesivo teniendo en cuenta que mis visitas con el doctor no duran más de 5 minutos, considero que podría haber pasado al siguiente paciente como se suele hacer. No niego la necesidad de llegar a tiempo a las citas médicas y respetar el tiempo de los demás, pero creo que podrían mejorar las formas. Es una pena, pero prefiero cambiar de dermatólogo para evitar estos incidentes.</t>
  </si>
  <si>
    <t>2025-11-20T15:12:12.016Z</t>
  </si>
  <si>
    <t>GOld Dance Mixing</t>
  </si>
  <si>
    <t>M'en vaig amb la sensació d'haber pagat per un servei que no ha estat acabat. Calia repassar-ho ja que amb la primera vegada no va ser suficient i demanen un 2n pagament.</t>
  </si>
  <si>
    <t>2025-09-19T07:53:24.643Z</t>
  </si>
  <si>
    <t>Mireia Sau</t>
  </si>
  <si>
    <t>Vaig venir a fer control de pigues i lunars i l'experiència va ser desastrosa. Les va mirar sense cap suport visual, per sobre i sense donar importància a cap d'elles encara que li insistís. La visita no va durar ni 5 minuts. Em va semblar molt poc professional, ja que això m'ho faig jo mateixa cada dia. Normalment, dediquen temps a mirar-les una a una, utilitzen una mena de lupa, i em van explicant el que hi ha i fent preguntes sobre si he vist algun canvi en alguna d'elles. Em vaig quedar a quadres i gens convençuda, fins i tot decebuda de la poca atenció i dedicació. Val a dir que el doctor és simpàtic i agradable, però no treu que la seva tasca sigui millorable. Personalment no ho recomanaria.</t>
  </si>
  <si>
    <t>2024-08-23T08:38:17.492Z</t>
  </si>
  <si>
    <t>Vaig anar-hi dos cops. Les dues vegades la solució va ser no fer res i esperar. Vaig esperar, la situació es va agreujar i vaig canviar de dermatòlegs per posar-hi remei. La meva experiència ha estat dolenta.</t>
  </si>
  <si>
    <t>2024-07-24T16:15:49.017Z</t>
  </si>
  <si>
    <t>VISI LOPEZ</t>
  </si>
  <si>
    <t>Doctor correcto si bien poca preocupación por los pacientes.  En mi caso ha Explorado parte de los lunares ( digo parte pq tengo por todos partes) y ha dicho que todos bien.
He estado en otros dermatologos y al menos los han mirado todos al detalle con una lupa .
La recepcionista ha hecho que jamás vuelva por su trato al teléfono poco empatico y agradable.
Por mi  experiencia no lo recomiendo pero es mi experiencia  y talvez tengas suerte.</t>
  </si>
  <si>
    <t>2022-09-29T09:21:18.847Z</t>
  </si>
  <si>
    <t>Rodrigo luiz Soares</t>
  </si>
  <si>
    <t>Pues me fue hacer un peeeling quimico y la supuesta doctora dematologa no sabia diferencia una explicacion de mi piel. Le comente que queria quimico y no me quizo hacer me puso otro que supuestamente haria lo mismo efecto y no me hizo nada.. esta supuesta dermatologa es fracazo.. tire mi dinero  la basura.. la peor clinica que he ido en mi vida q asco</t>
  </si>
  <si>
    <t>2020-10-30T19:00:39.083Z</t>
  </si>
  <si>
    <t>Kàtia FM</t>
  </si>
  <si>
    <t>Ha anat tant ràpid que ha superat la velocitat de la llum.</t>
  </si>
  <si>
    <t>2025-04-09T14:54:56.216Z</t>
  </si>
  <si>
    <t>JSD Jordi</t>
  </si>
  <si>
    <t>2026-07-18T16:17:47.513Z</t>
  </si>
  <si>
    <t>A</t>
  </si>
  <si>
    <t>2026-01-30T18:44:48.248Z</t>
  </si>
  <si>
    <t>Hector Marron G</t>
  </si>
  <si>
    <t>2019-09-26T17:25:22.516Z</t>
  </si>
  <si>
    <t>Cristina C</t>
  </si>
  <si>
    <t>La primera vez que vine me tocó un doctor muy amable y atento. Era para ver los lunares y los miró uno por uno detenidamente con la lupa, en cambio, la segunda vez que fui después de un año para control, me tocó otro que los miró por encima sin lupa y sin prestar atención a ninguno (tengo un montón). La verdad que no volvería porque no salí satisfecha.
La recepcionista muy amable!</t>
  </si>
  <si>
    <t>2026-03-22T22:24:39.496Z</t>
  </si>
  <si>
    <t>Elixi</t>
  </si>
  <si>
    <t>Bons professionals. Falla una mica recepció.</t>
  </si>
  <si>
    <t>2020-10-11T10:57:40.886Z</t>
  </si>
  <si>
    <t>Bea P M</t>
  </si>
  <si>
    <t>2019-11-15T10:36:08.837Z</t>
  </si>
  <si>
    <t>Centre Dermatològic Girona</t>
  </si>
  <si>
    <t>Carrer del Riu Güell, 24, 1r, 17005 Girona, Spain</t>
  </si>
  <si>
    <t>+34 972 20 37 28</t>
  </si>
  <si>
    <t>centrederma@telefonica.net</t>
  </si>
  <si>
    <t>Vergunyos! Tenia vista i quant estic alla la Senyora de recepció (si aixi se li pot dir) diu que no hem visiten que la Dra Laura li ha dit fa 20 minuts que se ne anava de urgencias i que tampoc hem vistia ningu… o sigui que es pensen que la gent tenim tot el nostre temps per anar fins alla espresament i que a sobre no et visiti ningu, hem sembla de vengonya. Se excusa diguen home amb 20 minuts no tinc temps de avisar… vinga va tens temps de sobre a part quedes mes bé avisan que no que la gent se et presenti alla i no els atengui ningu, treballo cara el public i amb cites i de sempre als llocs on he estat treballan automáticament quant pasa una cosa aixi el primer que fem es avisar de seguida a tothom i si no els aten una altre companya. I ja después de tot aixo tambe haig de dir que la primera visita amb la Laura que va visitar al meu fill va deixar molt que desitjar, ho va fer tot amb preses i va estar mes fora que a dins de la consulta. Evidentement que no tornare no calia que ho digesis la Recepcionista que per cert una mal educada ( fes-t’ho mirar )</t>
  </si>
  <si>
    <t>2024-04-22T16:08:10.013Z</t>
  </si>
  <si>
    <t>Afi Projecte</t>
  </si>
  <si>
    <t>Atenció vergonyosa de les recepcionistes, amb prepotència i sense ganes de treballar. Mai agafen el telèfon tampoc. Necessiteu millora urgent</t>
  </si>
  <si>
    <t>2024-05-03T13:31:39.813Z</t>
  </si>
  <si>
    <t>Ricard</t>
  </si>
  <si>
    <t>Ja m'han anulat la visita dos cops sense donar-me alternatives.</t>
  </si>
  <si>
    <t>2024-09-20T16:18:34.529Z</t>
  </si>
  <si>
    <t>Montse Garcia ruiz</t>
  </si>
  <si>
    <t>2024-07-21T20:42:52.761Z</t>
  </si>
  <si>
    <t>Nacho Vaquero</t>
  </si>
  <si>
    <t>2025-10-29T11:07:05.017Z</t>
  </si>
  <si>
    <t>Clínica Girona Dermatología</t>
  </si>
  <si>
    <t>Carrer Barcelona, 206, 17005 Girona, Spain</t>
  </si>
  <si>
    <t>+34 972 48 35 35</t>
  </si>
  <si>
    <t>clinicagirona@clinicagirona.cat</t>
  </si>
  <si>
    <t>Dani Muñoz</t>
  </si>
  <si>
    <t>Després d'esperar 20 minuts per ser atès trucant per telèfon, em pengen. 20 minuts escoltant que tenen totes les seves línies ocupades. Lamentable.</t>
  </si>
  <si>
    <t>2021-09-27T17:41:56.513Z</t>
  </si>
  <si>
    <t>Ads Due</t>
  </si>
  <si>
    <t>2024-12-29T00:54:13.176Z</t>
  </si>
  <si>
    <t>Miquel</t>
  </si>
  <si>
    <t>Acabo de trucar i la persona què ha despenjat el telèfon ha imitat un contestador automàtic per dir que "les línies estan ocupades". Accepto que per excés de feina no em puguin atendre, a tots ens ha passat no poder contestar el telèfon en un moment determinat, però em sembla lamentable què em menteixin tan descaradament. Quina confiança puc tenir en la professionalitat d'aquest servei?</t>
  </si>
  <si>
    <t>2024-01-26T14:29:07.360Z</t>
  </si>
  <si>
    <t>Consultori Mèdic Creu Blava</t>
  </si>
  <si>
    <t>Carrer de Joan Maragall, 4, 08380 Malgrat de Mar, Barcelona, Spain</t>
  </si>
  <si>
    <t>+34 937 65 46 47</t>
  </si>
  <si>
    <t>arenys@creublava.com</t>
  </si>
  <si>
    <t>Smile</t>
  </si>
  <si>
    <t>No recomiendo el servicio de fisioterapia. Los tiempos de espera son largos y un solo fisioterapeuta suele atender entre 5 y 10 pacientes al mismo tiempo, por lo que en ocasiones da la sensación de que se olvidan de ti. Los fisioterapeutas son amables pero yo creo que no profesionales, pero el servicio en general no estuvo a la altura de mis expectativas.</t>
  </si>
  <si>
    <t>2026-06-23T09:29:42.988Z</t>
  </si>
  <si>
    <t>Andrea</t>
  </si>
  <si>
    <t>Es una vergüenza hay hasta tres chicas en recepción nunca atienden el teléfono jamás ,eh estado allí delante la recepción vacía y aún así no atienden ,y cuando te hablan parece que te están perdonando la vida, por otro lado  pago casi 90€ de seguro médico y es increíble que tenga que pagar un sitio privado rehabilitación porque la gente que está allí te trata con desprecio desgana y nisiquiera te miran ala cara cuando te hablan ,este chico Raúl y Gina ,me envían para poner magnetoterapia electrodos lampara y ejercicios la magneto nunca la vi,eléctrodos no más de 5 min y si te los ponían ,lámparas hay 3 y llegan a tener más de 30 personas dentro y te mandan sola aún mini gimnasio que hay y ni siquiera te supervisan los ejercicios ejercicios que el propio traumatólogo  del centro dijo que estaban mal indicados y podrían haber agravado la lesión ,está bien darle oportunidad a la gente para que trabajen pero cuando se trata de salud  y son jóvenes o deberían poner supervisión o más personal ,el paciente paga cada mes un seguro médico para ser bien atendido ,y me parece una vergüenza que teniendo el centro en la esquina de mi casa y pagando un seguro médico que me cubre perfectamente rehabilitación y fisioterapia deba pagar por privado porque utilizan el centro a modo de cafetería hablando y atendiendo solamente a cocnocidos amigos y a los que les caen bien,los que vamos por primera ves nos traten con desprecio y no nos den la atención adecuada
Llevo así 9meses y nadie da respuesta nadie dice nada,expliqué que debía pagar en otro sitio porque allí ni caso me hacían y me dijeron si es lo mejor aquí poco pueden hacer por ti,es normal???  Pregunto?
Y me parece flioante lad contestaciones que da el centro diciendo que nunca se juntan tantas personas ojo con lo que decís porque hay cosas que se pueden demostrar ,yo puedo demostrar que hay más de 20 personas a la misma hora porque para generar la queja me aseguré d poder demostrarlo luego ,no dejéis a la gente d mentirosos como vi en otro comentario porque es verdad,como también es verdad que las lámparas hay 3 y aveces solo funciona 1,como que no te hacen los masajes tengo hernias discales trocanteritis y jamás vi ni magneto ,ni un trato de tú a tu desde el primer día me mandaron a hacer ejercicios sola sin antes desinflamar que es lo que hay que hacer ,ejercicios como la plancha y sentadillas y eso también lo puedo demostrar ,no es mejor decir lo sentimos mucho intentaremos mejorar en ves de decir que los clientes mienten????</t>
  </si>
  <si>
    <t>2026-06-29T11:16:04.940Z</t>
  </si>
  <si>
    <t>fani x</t>
  </si>
  <si>
    <t>El servicio del personal que organiza las visitas y las cobra… deja mucho que desear. VIGILAR SI CUADRA EL SERVICIO REALIZADO CON LAS VECES QUE PASAN LA TARJETA DE LA MUTUA!!!
Me han cobrado visitas NO REALIZADAS, y la Dra. que me visitó no se levanto de la silla.
Va hacer un año de esto y no me han abonado el dinero. Culpa de la mutua…si, pero gracias a este centro por intentar embolsarse más de lo debido. Si tienes mutua sin copago te la cuelan y no te enteras, pero si tienes copago…es fácil detectar pero parece ser que de solucionarlo no.</t>
  </si>
  <si>
    <t>2026-03-16T09:35:36.436Z</t>
  </si>
  <si>
    <t>Beatriz Alvarez</t>
  </si>
  <si>
    <t>Me sumo a la queja de la imposibilidad de hablar con ellos por teléfono. He llamado 2 veces en las que he estado 14 y 15 min respectivamente con el hilo musical de fondo esperando a que “en breves momentos” me atendieran y me han colgado. Me encantaría poder decir algo sobre el servicio médico, pero no sé cómo es ya que no puedo pedir cita.</t>
  </si>
  <si>
    <t>2026-04-30T12:33:40.771Z</t>
  </si>
  <si>
    <t>CAMPER DIEGO</t>
  </si>
  <si>
    <t>La verdad que muy mal servicio te pide un médico la analítica y cuando vuelves ya no está media visita explicando lo que te pasa y si te atiende la( doctora Paola merma ) estás jodido me recomendó que me dé baja de la mutua y ma valla a la seguridad social así tam</t>
  </si>
  <si>
    <t>2026-05-18T15:40:11.831Z</t>
  </si>
  <si>
    <t>Carles Comas Sona</t>
  </si>
  <si>
    <t>Increíble, entrar con un dolor de oído, visitarme el médico y decirme no puedo hacer nada te doy hora para de aquí 15 dias con el otorrino. Total de la visita 45 segundos y 0 soluciones. Normalmente el servicio no es así</t>
  </si>
  <si>
    <t>2026-07-07T09:36:23.898Z</t>
  </si>
  <si>
    <t>Miranda A</t>
  </si>
  <si>
    <t>El optometrista té hace una primera visita por 100€ por echarte unas gotas y mirarte el ojo, pero si tienes algun problema por pequeño que sea ( como puede ser la limpieza de una lente intraocular té envian para Barcelona porque aquí no tienen de nada)
Ya me han visto bastante. Prefiero 1000 veces la creu groga en Calella</t>
  </si>
  <si>
    <t>2026-03-13T04:26:32.647Z</t>
  </si>
  <si>
    <t>Antonio Lopez</t>
  </si>
  <si>
    <t>Una vergüenza. Peor que el CAP.  Más de 15 minutos al teléfono para pedir hora con el cardiólogo  kas SRTAS TE DICEN QUE NO PUEDEN HACER MAS  .sres. PROPIETARIOS PONGAN MAS PERSONAL. YA TIENEN BASTANTES BENEFICIOS.</t>
  </si>
  <si>
    <t>2026-02-27T09:11:11.129Z</t>
  </si>
  <si>
    <t>Blanca nelly Quiroz</t>
  </si>
  <si>
    <t>Mal servicio, no tienen servicio de urgencia hoy viernes a las 13 h , indignate y más aún cuando se trata de un menor de edad. No te informal bien y no te brindan otra opción, solo volver después de las 15h .</t>
  </si>
  <si>
    <t>2025-11-14T12:41:08.940Z</t>
  </si>
  <si>
    <t>Adrian</t>
  </si>
  <si>
    <t>Hola buenas qué es una vergüenza porque allí a las 2 de la tarde y ya se sabía esto y podían haber llamado a los pacientes vale para porque nosotros teníamos hoy un corte para mi marido y resulta que está cerrado está toda la mañana llamando y no ha habido nadie nadie ha informado de nada me parece muy poca vergüenza por parte de la creu blava él no se quiere avisar a los pacientes que tenían alguna visita es vergonzoso😡</t>
  </si>
  <si>
    <t>2026-02-12T14:01:58.904Z</t>
  </si>
  <si>
    <t>Ani Mallea</t>
  </si>
  <si>
    <t>Sigo esperando al teléfono, ya llevo 14 minutos. Y no, no es un caso excepcional, es cada vez que llamo. Entiendo que tengan pacientes que recepcionar,  pero quien llama tambien es un paciente que necesita ser atendido como si estuviera en recepción.  Podrían organizarse mejor y atender uno y uno. Y ambos pacientes esperamos lo mismo no? Y por favor,  no me digan que pasa a veces. Es "cada vez que llamo". Una pena, porque el servicio es aceptable. Ah y ya llevo 20minutos al teléfono. Mejor cuelgo ya. Que ilusa.</t>
  </si>
  <si>
    <t>2025-12-10T16:54:33.188Z</t>
  </si>
  <si>
    <t>Mónica Alday</t>
  </si>
  <si>
    <t>Ni se les ocurra me cambiaron 3 veces la cita para Nefrología , la primera me llamaron tarde noche fuera de horario ,la segunda, y  otra vez  la tercera cuando iba yendo al Centro .  Pregunté por la responsable y se negó a atenderme  poniendo en evidencia la falta de respeto hacia los pacientes y la cobardia de no querer darme una explicacion. Le pregunté a la persona que me llamó prorrogando las citas que pasaba y quien era el responsable de esta situacion diciendome que era la Nefrologa que atiende allí dra.Maria Constanza Glucksmann. Espantoso.
Menos de una estrella. Nunca vi nada igual.</t>
  </si>
  <si>
    <t>2025-12-09T16:46:46.350Z</t>
  </si>
  <si>
    <t>Jorge Gomez</t>
  </si>
  <si>
    <t>Muy deficiente, te hacen esperar muchisimo, yo creia que pagando un seguro privado me ahorraria este tipo de cosas, es un sacacuartos....como casi todo.</t>
  </si>
  <si>
    <t>2026-07-09T12:28:54.133Z</t>
  </si>
  <si>
    <t>Manolo Sanchez Perez</t>
  </si>
  <si>
    <t>Buenas tardes, os contesto de nuevo para comunicaros que teneis muy mala organización con la prueba del holter. Os he comentado tambien que mi cita para colocar el holter era ayer dia 22/10. y os dije que estaba programada desde el dia 2/10. aun asi insistis en que yo me he presentado sin tener hora previa cuando sois vosotras las que me habeis dado esa cita y cambiarla los dias posteriores porque no os va bien realizarla.La proxima vez lo tengo claro,iré a otro centro donde si pueden realizarme esa prueba sin contratiempos para mi cita con la especialidad.Ya aportaré relación de pruebas y visitas del mes de octubre-2025</t>
  </si>
  <si>
    <t>2025-10-23T19:44:57.646Z</t>
  </si>
  <si>
    <t>Lucy</t>
  </si>
  <si>
    <t>Llevo días llamando voy a poner una reclamación Adeslas pagar para esto!!! Mejor que pongan clínicas donde te respondan 😡</t>
  </si>
  <si>
    <t>2026-03-04T16:45:03.125Z</t>
  </si>
  <si>
    <t>Vanessa Andrades</t>
  </si>
  <si>
    <t>Primera y última vez q cojo hora en este centro , he venido pocas veces y pero siempre me ha sucedido lo mismo sea la especialidad q sea,  llegué media hora antes para prevenir retrasos aún así entiendo q mi hora es a las 18 pero a las 18:30 me dicen q aún tengo q esperar otra visita a parte de la que acaba de entrar xq van con retraso de 1 hora , luego comete la cola de la recepción q es de más o menos 15 min , imposible!!! Pierdes dos horas casi por una visita q durará como mucho 10min creo q no deberían sobre agendar a los médicos  !! Y tan simple como si te tienes q ir vete y vuelve agendar otro día !!! Para perder dos horas más de mi tiempo!! Comprendo q puede haber retraso pero siempre !!!</t>
  </si>
  <si>
    <t>2025-11-05T17:34:51.786Z</t>
  </si>
  <si>
    <t>Manuel Sanchez Perez</t>
  </si>
  <si>
    <t>He ido 2 días para que me pongan un Holter y No cumplen con el calendario de citas. Primero no está la persona que lo tiene que poner, me citan al día siguiente y me dicen que no estoy programado. Una vergüenza de organización.
A mi mujer hace un mes también se lo hicieron, NO SE ORGANIZAN NADA BIEN CON ESTÁ PRUEBA.</t>
  </si>
  <si>
    <t>2025-10-23T14:59:22.076Z</t>
  </si>
  <si>
    <t>Raquel Sotos Bados</t>
  </si>
  <si>
    <t>Esto es una vergüenza llevo dos días llamando y una hora de reloj a la espera para unas ppppp analíticas. Increíble</t>
  </si>
  <si>
    <t>2026-04-10T07:25:41.099Z</t>
  </si>
  <si>
    <t>Melania Exposito Ruiz</t>
  </si>
  <si>
    <t>He acudido por vértigos y dolor cervical, y no tenían el inyectable, no es que fuera uno especial o fuera de lo común, simplemente Enantyum y no lo tenian. Me parece indignant que una Centro privado no tengan algo tan esencial. Me cogí mutua por que, creía que me iba a ir mejor, y la primera vez que lo uso, decepción total.</t>
  </si>
  <si>
    <t>2025-08-21T10:06:23.532Z</t>
  </si>
  <si>
    <t>Sergi Massegur</t>
  </si>
  <si>
    <t>Avui 5 de febrer de 2024 tenia hora a les 15.50 amb l’otorrino Salazar. M’acaben de trucar quan faltaven 30 minuts per cancel.lar la visita… i em donen dia per dintre de 2 setmanes. Vergonyós servei.</t>
  </si>
  <si>
    <t>2024-02-05T14:21:14.693Z</t>
  </si>
  <si>
    <t>Ribe Clinic</t>
  </si>
  <si>
    <t>Pg. de Gràcia, 89, 3-2, Eixample, 08008 Barcelona, Spain</t>
  </si>
  <si>
    <t>+34 934 88 12 07</t>
  </si>
  <si>
    <t>ribeclinic@ribeclinic.com</t>
  </si>
  <si>
    <t>Mariya</t>
  </si>
  <si>
    <t>Second time I've been left with burns on my forehead after a radio-frequency session without getting as much as an apology! The  therapist treats you as if you are stupid and this is totally normal! Although, I do see the positive effects of radio frequency, one needs to be careful and consider the fact that different patients have different skin types and mine is very fine. Although not very visible, I still see some marks from the previous time whereas I was reassured that, there will be none. Needless to say, I will be never coming back!</t>
  </si>
  <si>
    <t>2023-05-21T11:33:40.091Z</t>
  </si>
  <si>
    <t>La Osita</t>
  </si>
  <si>
    <t>After waiting almost an hour for a laser depilation session, (took 5 mins and cost 150 euros), which was done with no care, I have to say that this clinic is a total con.
The doctor did not apologise for her late arrival, treated a much smaller area than had been agreed upon, and then showed me 'our agreement'     (which she wrote herself) to treat only the small area.
I won't even mention the other substandard treatments I have done at this clinic.
They really think the clients are stupid, and I would agree with that assessment, given I didn't learn the fist time.</t>
  </si>
  <si>
    <t>2022-03-16T17:12:57.548Z</t>
  </si>
  <si>
    <t>Rose Souza</t>
  </si>
  <si>
    <t>If there is 0 star I would give,
I did a quote online before take the airplane and travel from Ireland to spain just to do the scar treatment, she gave me a price by our conversation from whats app, I sent pics and when I was there She charged me 3 times more than we have agreeded by the phone. She said I would need 5 to 7 sessions  for a tiny scar around my mouth and she used 40 per cent of the scar machine, she could use more powerfull to have more results and less sessions. As I spoke to others professionals they confirmed it.
Ps:The staffs were great .</t>
  </si>
  <si>
    <t>2023-05-05T18:22:32.435Z</t>
  </si>
  <si>
    <t>Michael Stark</t>
  </si>
  <si>
    <t>I was kept waiting for an hour for my pre booked appointment - not a great start.
After consultation proceeded with a laser treatment. Unfortunately I believe I was lied to as to which laser was actually used. I paid 250€ for a treatment that should probably cost 50€.
Had both types of treatments before and I recognise skin reaction to both. Shared my concerns with the clinic but faced nothing but passive aggressive replies. Was asked to wait few weeks for skin to heal and improve.
Weeks past, no results, no follow up, no customer service assistance.
I don’t recommended this clinic.</t>
  </si>
  <si>
    <t>2020-02-11T23:19:17.578Z</t>
  </si>
  <si>
    <t>aimee dougall</t>
  </si>
  <si>
    <t>Awful</t>
  </si>
  <si>
    <t>2023-03-27T17:58:14.471Z</t>
  </si>
  <si>
    <t>N T. Garcia</t>
  </si>
  <si>
    <t>Fui paciente de ellos hace unos pocos años cuando vivía en Barcelona. No los recomiendo. El trato al cliente no es bueno. La doctora no es cercana y bastante arrogante con lo que no llega a entender las necesidades del cliente.</t>
  </si>
  <si>
    <t>2026-01-20T14:10:51.852Z</t>
  </si>
  <si>
    <t>Natacha Alfageme</t>
  </si>
  <si>
    <t>Forma de trabajar nada profesional. Solicité información por teléfono porque quería eliminarme un tatuaje con ellos, me dijeron que para darme presupuesto y ofrecerme una valoración personalizada de mi caso tenía que enviarles una foto de mi tatuaje por WhatsApp😳
Me dieron un presupuesto que variaba entre los 180-220€ por sesión, no podían especificarme el precio exacto por sesión hasta que no fuera a la clínica y la doctora viera mi tatuaje y esa consulta tiene un precio de 70€.
Todo muy extraño: no inspiran confianza ni profesionalidad.
Ya tengo cita en Ray Studios, donde me ofrecen (como en cualquier centro) una primera visita de valoración, información y presupuesto totalmente gratuita.
Lamento no haber leído todas la críticas que hay aquí antes de ponerme en contacto con ellos.</t>
  </si>
  <si>
    <t>2023-02-20T21:05:22.721Z</t>
  </si>
  <si>
    <t>alessand</t>
  </si>
  <si>
    <t>CUIDADO!
Fui ayer a mi primera sesión para la eliminación de un tatuaje a color, animado por la maquina que usan y porque por teléfono no dan presupuestos.....A pesar de vivir a 60 kms de Barcelona.
Sesión que se convirtió en consulta de apenas 5 minutos, en la cual  usando una tarjeta de crédito como unidad de medida (1 tarjeta = 150€) , la doctora me presupuestó un tatuaje del tamaño de un teléfono móvil estándar, por 450€ la sesión de 5 minutos de láser.
Alarmado por el precio en un tatuaje de 11cm*13cm exactamente, le expongo mi decisión de pensármelo y buscar otras opciones mas coherentes; A lo que la doctora me responde:
1. La maquina nos ha costado 300.000€
2. Puedes tratarte aquí las partes del tatuaje a color, e ir a otra clínica más barata a tratar las partes de tinta negra.
5 minutos de consulta, fueron suficientes para darme cuenta de los precios abusivos que tiene la clínica, pero sobre todo del trato impersonal que ofrece ; " hacer medio tratamiento aquí y otro medio allá, sin ningún control ni sentido."
RESULTADO: vuelta a casa sin sesión , eso si, hubo tiempo de justificar la NO sesión como consulta y cobrarme 70€ .</t>
  </si>
  <si>
    <t>2021-04-27T14:36:27.567Z</t>
  </si>
  <si>
    <t>Toni Cabré</t>
  </si>
  <si>
    <t>La ultima sesión de laser que tuve en diciembre 2020 con la ``Doctora´´ para quitar pelos me quemo parte de un tatuaje y me dejo una herida bien grande por no fijarse bien donde pasaba con el laser. Por no hablar de lo maleducada que es la persona que gestiona las citas con el teléfono, tanto por llamadas como por whatsap, realmente poco profesional y muy maleducada, nada acorde a los precios que cobran. El trato es frio y distante, en persona te cobran y te despachan rápido como si fuera una fabrica. No pongo 0 estrellas porque no me deja, lugar totalmente desaconsejado.</t>
  </si>
  <si>
    <t>2021-02-08T11:35:53.627Z</t>
  </si>
  <si>
    <t>Alba Vegas</t>
  </si>
  <si>
    <t>Muy descontenta con la sra. Andrea con la poca atención recibida después de haberme realizado dos tipos de láser. Tratándome de exagerada porque tenia mucho picor en los ojos. Llamé a la clínica al no tener respuesta Y la chica de recepción 0 profesional con muy poca educación me dijo que tengo que esperar que la doctora me responda y que es su día libre y no va a contestar y menos a las 9 de la mañana. Increíble.. mejor no sigo porque hay más, pero para el dineral que me gasté hay mejores profesionales. Luego buscas soluciones y te bloquea. Además tiene  que pedir buenas reseñas a sus amiguitas. Lamentable y vergonzoso como te tratan.</t>
  </si>
  <si>
    <t>2021-03-09T22:10:49.751Z</t>
  </si>
  <si>
    <t>Angèle Biette Cruse</t>
  </si>
  <si>
    <t>⛔️ ¡ESTAFA TOTAL! ⛔️
Esta clínica cobra 900 euros para UNA sesión de depilación laser para axilas y piernas, que ademas no me funciono para nada... 900 EUROS!
Cuando llamé primero para tener información sobre los precios, me dijeron 900€ "aproximadamente según la piel y la cantidad de sesiones que hacer para eliminar totalmente los pelos"
Me pareció correcto sabiendo que en las otras clínicas de la ciudad, era más o menos el mismo precio, aunque un poco más caro.
Me dijo al final de la sesión que los 900€ eran solo para la PRIMERA sesión y me obligaron a pagar.
Esta Doctora Ribe hace parte de los peores seres humanos que conocí en mi vida.
Ojala este mundo tenga menos gente como ella...</t>
  </si>
  <si>
    <t>2018-12-05T14:21:36.773Z</t>
  </si>
  <si>
    <t>Karol Ina</t>
  </si>
  <si>
    <t>Acudí a la clinica Ribé por un pequeño lentigo solar en el pómulo. Me había hecho una sesión x 180€ en la clinica Planas, y me lo habia eliminado casi del todo, (con picolaser), y por desgracia pensando que me ahorraría algo de dinero, en la clinica Ribé (no tienen picolaser pero me aseguró que con el que tenía podían tratarme la mancha), me cobraron 150€. La quemazon en la cara increible, me pareció que había sido muy intenso y así fué (en teoría tenía que ser así según la dra, q así se van las manchas me dijo)  pero la herida que me hicieron me ha dejado un surco y además la mancha lejos de eliminarse se ha reactivado más que antes de acudir a ningúna clínica! Trauma doble el que tengo q afrontar ahora (780€ en total en tratamientos para no obtener resultado ninguno y encima empeorarme un problema, salir peor de lo que entraste y con tus pequeños ahorros en sus bolsillos Además como me lo hizo en otras pequeñas manchas, el resultado es que todas se han reactivado, no puedo estar más descontenta con el mal resultado! :( Además la dra Ribé me convenció para hacerme laser IPL en tres sesiones, que yo entendí costaban 300€ el total...pero no, resulta que son 300€ por sesión...y a la segunda mi sorpresa al pedir hora para la tercera es que me dijeron que debía abonar 300€ por sesión! No me dieron nada por escrito, así que es su palabra contra la mía pero aseguro que el IPL no me ha mejorado ni los poros abiertos ni la rosacea...En clinica Tufet por 180€ me hicieron dos sesiones y muy contenta. Para quien necesite más información no me importa mandar fotos de todo el proceso. Lamento profundamente mi decisión de escoger esta clínica y me siento en la obligación de compartirlo para que otras personas no cometan el mismo error. saludos.</t>
  </si>
  <si>
    <t>2021-04-12T12:15:41.611Z</t>
  </si>
  <si>
    <t>Tina Jin</t>
  </si>
  <si>
    <t>Acudí a la clínica para eliminación de manchas solares y marcas de eczemas, le expliqué a la doctora mis problemas de piel y me recomendó hacer el laser.
El día de la primera sesión de laser, no me avisó que tenía que ponerme una crema para que no notara el dolor, me lo puso la enfermera 5 minutos antes, por lo que no dio tiempo a reaccionar y fue una experiencia muy dolorosa. Por la noche me salió un sarpullido, escribí a la doctora y me contestó por whatsapp que tenía que tomar antibioticos. (No podía comprar antibioticos sin receta, por lo que tuve dificultades para conseguirlo ya que la doctora NO ME DIO RECETA)
A la segunda sesión le dije a la doctora que la mancha que me había provocado estaba peor, Y ME RECOMENDÓ SEGUIR CON LASER. OBVIAMENTE, LA MANCHA SE VOLVIÓ AÚN PEOR.
Cuando volví les comenté que la mancha estaba más grande despues de la segunda sesión, y la doctora me vendió una sesión de limpieza facial.
Despues de acudir a otra clinica dermatologica, me dijeron que no deberian haberme hecho una segunda sesión de laser despues de ver la reacción de mi piel. POR LO QUE LA RESPONSABILIDAD DEL EMPEORAMIENTO ES DE LA CLÍNICA.
NO ME HICIERON SEGUIMIENTO, SOLO ME VENDIAN MAS Y MAS SESIONES DE LIMPIEZA.
Y A DIA DE HOY, CASI 1 AÑO DESPUES, VIVO CON UNA MANCHA HORRIBLE EN MI CARA.</t>
  </si>
  <si>
    <t>2021-11-18T11:43:35.885Z</t>
  </si>
  <si>
    <t>Carmen Lopez</t>
  </si>
  <si>
    <t>Buenas tardes , me gustaría compartir mi experiencia, que creo que es el fin de este apartado de valoraciones , tanto buenas como malas ,personalmente no me ha servido para nada, ningún cambio en absoluto, matizó cambio en el bolsillo menos 4 400€, me hice dos zonas y he tenido mejores resultados con la radiofrecuencia, que con ese dinero tendría para hacerme todo el cuerpo durante varios años.
La única respuesta obtenida por la consulta de la dra es ; no puede ser verdad venga y lo miraremos, mi respuesta ha sido me vais a reembolsar el dinero o hacer otro tratamiento, me han dicho un No rotundo, con lo cual no voy a perder mi tiempo y mucho menos mi dinero, si tan seguros están de que funciona, tendría que haber una garantía y hacerse cargo e intentar que la gente quede contenta,
No les interesa ya han cobrado, y a por otra presa, nada profesionales .
No lo recomiendo en absoluto.</t>
  </si>
  <si>
    <t>2020-01-27T15:46:50.449Z</t>
  </si>
  <si>
    <t>Maria Maria</t>
  </si>
  <si>
    <t>Claro que he ido,paque 280€,me ha echo una limpieza fácil muy simple y un poco de gel con la máquina,un timo total.</t>
  </si>
  <si>
    <t>2023-11-26T14:16:56.523Z</t>
  </si>
  <si>
    <t>Angeles Buitrago Fuentes</t>
  </si>
  <si>
    <t>Bienos dias;
Les escribo porque acabo de conocer su Clínica a través del programa de Javier Cárdenas y estoy muy interesada en esta técnica tan innovadora y fantástica que ustedes hacen
Fuolescultin crioliposis (congelación de adipocitos).
Quisiera saber si en Madris tienen ustedes clínica por favor ???
Un abrazo
Angeles</t>
  </si>
  <si>
    <t>2020-01-21T07:50:02.811Z</t>
  </si>
  <si>
    <t>Lesly Villalvir</t>
  </si>
  <si>
    <t>Pésima atención, fui a una evaluación y estuve menos de 5 minutos. No sentí que me atendieran con el detalle y la dedicación que esperaba.</t>
  </si>
  <si>
    <t>2025-01-29T18:11:25.584Z</t>
  </si>
  <si>
    <t>López Núñez Miquel</t>
  </si>
  <si>
    <t>En eliminación de tatuajes buscan sacar el máximo de sesiones posibles, no recomiendo esta clínica en absoluto.</t>
  </si>
  <si>
    <t>2021-09-06T20:00:18.914Z</t>
  </si>
  <si>
    <t>Ruth Nabal</t>
  </si>
  <si>
    <t>Una estafa . Espero que no borren el comentario...</t>
  </si>
  <si>
    <t>2019-03-22T14:33:10.756Z</t>
  </si>
  <si>
    <t>Legna W.</t>
  </si>
  <si>
    <t>No confiéis en timadores</t>
  </si>
  <si>
    <t>2019-06-09T15:25:44.251Z</t>
  </si>
  <si>
    <t>Àptima Centre Clínic</t>
  </si>
  <si>
    <t>Carrer Amposta, 22, 08174 Sant Cugat del Vallès, Barcelona, Spain</t>
  </si>
  <si>
    <t>+34 937 36 70 20</t>
  </si>
  <si>
    <t>dpd@aptimacentreclinic.cat</t>
  </si>
  <si>
    <t>Katja Seitz</t>
  </si>
  <si>
    <t>Impossible to get an appointment. I tried to call nearly every day this week but no one answers the phone.</t>
  </si>
  <si>
    <t>2025-11-13T14:57:37.181Z</t>
  </si>
  <si>
    <t>Elcin Cetin</t>
  </si>
  <si>
    <t>Very bad experience. After waiting in the huge line at the register desk with one person behind the register, I waited another 45 min and still no sign of meeting the doctor anytime soon. Very disappointed</t>
  </si>
  <si>
    <t>2021-10-13T09:53:04.755Z</t>
  </si>
  <si>
    <t>begoña lafuente</t>
  </si>
  <si>
    <t>Imposible pedir hora telefónicamente.  Mas de 100 llamadas en 15 días.  Y más de 11 minutos por llamada, esperando a que contesten, para que te salga la locución de valoración de la atención.  Pues chica, un cero bien gordo.  Todos los agentes ocupados?  Pues contratar a más gente,  que hay mucho paro.  Me parece VERGONZOSO.  Si hubiera estrellas en negativo, pondría 11, una por cada minuto de mi tiempo perdido en cada llamada.  Que pena tener que escribir en negativo y más a un centro médico.</t>
  </si>
  <si>
    <t>2026-01-20T11:47:09.332Z</t>
  </si>
  <si>
    <t>Oscar Prat</t>
  </si>
  <si>
    <t>Un desastre para pedir hora!! Surrealista! Llamas y te dan opciones de pdir cita. Escojo la 3 que es Sant CUgat. Me contestan, me piden DNI y nombre. Después de mantenerte en espera, me dicen que no me pueden dar hora porque estan en Terrassa (para qué das opciones de los centros médicos si luego te pasan con terrasa???). Me dice que tengo que volver a llamar y no seleccionar petición de cita ni Sant Cugat, sinó información general y Sant Cugat?!?!?!? Alucinante!!!! Así de pierden clientes!!</t>
  </si>
  <si>
    <t>2026-04-22T10:58:32.781Z</t>
  </si>
  <si>
    <t>Mari Carme Serrano Almengol</t>
  </si>
  <si>
    <t>Un centro nefasto y poco recomendable. Desde las chicas q atienden a recepción hasta dirección. Llevo más de 50 min esperando en la sala de espera a un especialista y sino pregunto nadie te informa ni te dice nada. És impresentable q encima q vas pagando x mútua privada no tengan la decencia de hablar contigo.
A ver si consigo q me visiten porque vamos camino a una hora y suma y sigue. Como q es tan fácil obtener cita y eso q fueron ellos quien me la reprogramaron 3 veces. Ahí lo dejo ….</t>
  </si>
  <si>
    <t>2026-04-16T14:56:21.517Z</t>
  </si>
  <si>
    <t>josneidy sanchez</t>
  </si>
  <si>
    <t>Llame para solicitar cita con un foniatra y la recepcionista me ha dicho que me pondría con otra especialista. Le insisti que necesitaba una cita con un foniatra y me ha dicho que si no cogía la cita con la especialista que ella dice que llamara a otro centro. Aparte le llame cariño y se ha molestado y me ha dicho que no la llame así porque yo no la conozco. Pienso que como paciente debería ser tratada con un poco mas de respeto y consideración.</t>
  </si>
  <si>
    <t>2026-02-24T15:05:13.683Z</t>
  </si>
  <si>
    <t>Olga</t>
  </si>
  <si>
    <t>Pèssima atenció,  més de 10 minuts al telèfon esperant a ser atesa per canviar una cita i res,  però així porto ja molts dies. Després diuen que la sanitat pública va malament, però avui he trucat i m'han atès al telèfon en un temps normal i m'han donat hora per avui mateix.</t>
  </si>
  <si>
    <t>2026-01-07T08:16:07.458Z</t>
  </si>
  <si>
    <t>Elisabet</t>
  </si>
  <si>
    <t>Valoro el tema de gestión telefónico (citación) es el primer dia y he hecho 10 llamadas y que las operadoras estan ocupadas y 5m de espera y todavía no he podido pedir cita, porque por la web, te piden los datos y tb sale un error. Es mi primera vez, pq me han hablado bien del centro y los médicos, pero será dificil hacer una vista☹️</t>
  </si>
  <si>
    <t>2026-03-11T19:27:43.521Z</t>
  </si>
  <si>
    <t>Emma Soler</t>
  </si>
  <si>
    <t>Ens truquen per desprogramar l’hora amb el doctor Viscasilles perque som de Sanitas. Ens diuen que amb Sanitas només ens poden atendre el mateix dia pero més tard i que ja ho tenen ple. L’hora ens la van donar ells. Francament ho trobo molt lleig anular una hora que ells mateixos t’han donat.</t>
  </si>
  <si>
    <t>2026-03-18T13:16:00.629Z</t>
  </si>
  <si>
    <t>Flamenkito R.</t>
  </si>
  <si>
    <t>Desde hace tiempo decidí  acudir a este centro SOLO cuando tengo alguna RM programada, y sobre este tema, Y enfermeras o doctoras que están en las maquinarias, no tengo ninguna queja.
Pero por temas de que necesité un Especialista en concreto de hombro, el cual es para hacer otra queja a este doctor, Ezagui Bentolina Jaime vía formal.
De no tener NADA! según él, teniendo RM delante en sus narices con atrofia 60% grado 3 de (índice de Goutaller) y tendón roto con mas del 50%, artrosis, etc etc me mandaba a rehabilitación, y deja un informe escrito, que yo me invento el dolor y freno el brazo! cero empatía y profesionalidad!
Gracias a dios, pedí una segunda valoración en otro centro y en 3 semanas estaban OPERÁNDOME en el Hospital general.
(te operan cuando no tienes nada? pues eso...)
Si llega a ser por este hombre, aun estaría haciendo rehabilitación, como si eso te cosiera el tendón, te limara un hueso o la grasa del músculo se volviese otra vez musculo... pero claro... es especialista?
Mi queja principal es LA MALA GESTIÓN QUE TIENEN EN RECEPCIÓN, este centro en PARTICULAR, EL DE SAN CUGAT.
Es bastante pésima, se hacen colas que llegan a la puerta, ellas tras el cristal de risas y chumineos, o móviles en mano. Les da igual la gente que haya esperando.
En especial hay una chica joven, con piersing por la cara, y cinta en la cabeza, que es una MALEDUCADA de manual, se ríe de los pacientes, contesta de malas maneras, cero empatía y no sabe lo que es un por favor, ni perdone un momento.
No entiendo que hace cara al público gente que atiendan asi a pacientes. como tengas una visita de algún especialista, cuidado, que se quedan la tarjeta y a la salida vuelta a comerte las colas. es Horroroso como un centro que es una quinta parte de el de Terrassa, tenga este tipo de gente cara al público.
sales de consulta y el medico no te da ningún informe de la visita, NO EXISTE UN PORTAL DEL PACIENTE, donde tu puedas descargártelo, y nuevamente tienes que comerte las colas, para que la de recepción te lo imprima. en Terrassa, desde especialista, a clinica del dolor o cualquier consulta, te dan en mano el informe.
Deja mucho que desear el servicio que ofrecen, y el TELEFONO... no esperes que te lo cojan... como te lo vana  coger? si entre las colas y los chismes que se traen ahí, no tienen tiempo de cogértelo!
A partir de ahora buscaré otros centros cuando me toque una RM porque es penoso la que lían en recepción.</t>
  </si>
  <si>
    <t>2026-03-06T09:07:09.271Z</t>
  </si>
  <si>
    <t>Mar Martí Terrones</t>
  </si>
  <si>
    <t>Llevo desde septiembre intentando programar una ecografía importante para febrero de 2026, ya que debo controlar si mi situación ha empeorado. Cada semana llamo, tal y como me indicó mi ginecóloga, pero nunca responden al teléfono. Me veo obligada a desplazarme presencialmente a recepción para informarme… y no siempre puedo hacerlo, porque me queda lejos. Es imposible que me atiendan por teléfono.
Necesito la ecografía para febrero como tarde, ya que tengo controles cada seis meses. Desde septiembre me dicen que la agenda sigue cerrada, y empiezo a ver que llegará febrero y no habré podido comprobar si mis bultos han crecido o no. Estoy francamente disgustada con esta clínica.
¡Esto es un cachondeo! Entiendo que en recepción tengan mucho trabajo y atiendan a clientes en persona, pero ¿de verdad no pueden disponer de más recursos para contestar las llamadas telefónicas? Hay pruebas que no se pueden reservar por la aplicación, si no ya lo habría hecho hace meses.</t>
  </si>
  <si>
    <t>2025-11-21T10:24:59.102Z</t>
  </si>
  <si>
    <t>Silvia Limones</t>
  </si>
  <si>
    <t>Doctor especialista en pié.2/12/2025 hora de visita 19.15h Silvia L
Me gustaría agradecerle qué me haya usted dejado casi una hora y media esperando. Gracias por marcharse y no verme, ahí sola , sin nadie mas en la sala de espera. Gracias por llamar a un paciente qué no está, y aprovechar para salir tan tranquilamente de su consulta para irse a descansar, sin ver a la señora qué hace más de una hora qué está esperando a ser atendida por usted. Por qué yo estaba de espaldas a su puerta , y no me percaté cuando usted se marchaba tan tranquilamente, ignorando a la única persona qué había en la sala, y la cuál aparecía en su lista de visita, según sus compañeras de la entrada qué muy amablemente habían registrado la visita a la hora en punto o antes  , porciento quedándose targeta de paciente.
Gracias de nuevo doctor. Yo venía de lejos a visitarme con usted. Y usted me dejó más de una hora ahí plantada sin visitarne, no sé por qué pero gracias de nuevo!</t>
  </si>
  <si>
    <t>2025-12-02T20:28:10.527Z</t>
  </si>
  <si>
    <t>Angel Coronas Martin</t>
  </si>
  <si>
    <t>De mal en peor. Para esperas de mas de hora, que no te cojan el teléfono, y que tarden semanas en citarte con un especialista ya tenemos la pública! No sé que sentido tiene pagar mútua para este tipo de servicio, deja mucho de desear.</t>
  </si>
  <si>
    <t>2026-03-07T17:43:54.701Z</t>
  </si>
  <si>
    <t>Susana Torralba</t>
  </si>
  <si>
    <t>Mi experiencia con la Dra. Tarragó ha sido muy negativa.
Acudí a consulta con un informe y un diagnóstico previo realizado por otro especialista, que fue descartado afirmando que ese trastorno, aun estando recogido en el DSM-5, no existe según su criterio.
Más allá del desacuerdo diagnóstico, el trato recibido y la forma en que se desarrolló la consulta me resultaron muy incómodos y poco respetuosos.
Salí de la consulta muy afectada emocionalmente. En base a mi experiencia, no la recomendaría.</t>
  </si>
  <si>
    <t>2026-01-23T14:51:39.525Z</t>
  </si>
  <si>
    <t>Xavi Lario</t>
  </si>
  <si>
    <t>Fatal
Cobrar por que te administren medicación es poco más que lamentable, 30€ por una infiltración de cortisona? Que debe valer poco menos de 2€</t>
  </si>
  <si>
    <t>2026-06-12T08:26:16.069Z</t>
  </si>
  <si>
    <t>Ramon Lombera</t>
  </si>
  <si>
    <t>Empiezo a pensar que este centro es una tapadera para otro tipo de negocios. Imposible pedir cita a través de la web "No se ha encontrado ninguna hora disponible" es la respuesta  a cualquier fecha o período de fechas que pongas para solicitarla. Y si lo intentas por teléfono, puedes estar esperando con la "musiquilla" hasta 10 minutos para que al final acaben cortando la llamada... previa encuesta de satisfacción. Manda Güevs! Así llevo todo el día. Menudo desastre!</t>
  </si>
  <si>
    <t>2025-12-29T17:20:54.557Z</t>
  </si>
  <si>
    <t>José Luis Marín</t>
  </si>
  <si>
    <t>Te informan de que las analíticas son sin cita previa y luego resulta que sí hay que pedir cita. Habías varias personas que les había pasado lo mismo.</t>
  </si>
  <si>
    <t>2026-04-17T06:32:49.418Z</t>
  </si>
  <si>
    <t>Carles Anglada</t>
  </si>
  <si>
    <t>Imposible contactar per telèfon.
Per demanar hora telefònicament, quan si posen, (si, si posen) ja t, has mort.
I a sobre, sense que ningú si posi, et demanen la valoració de la persona que t, ha atés.
Es del tot impresentable aquest temps en un centre de salut.</t>
  </si>
  <si>
    <t>2025-11-25T15:37:05.602Z</t>
  </si>
  <si>
    <t>Rosa Hernández</t>
  </si>
  <si>
    <t>Hoy 28 enero' me está pasando lo mismo. Llamo pero no contestan en más de 9 minutos. Me he cansado y he colgado. Voy a ir a otro sitio. No sé cómo será la atención médica, pero no es accesible.</t>
  </si>
  <si>
    <t>2026-01-28T17:13:32.741Z</t>
  </si>
  <si>
    <t>Eva Valldeperas</t>
  </si>
  <si>
    <t>Llevo TODA la mañana llamando para concertar una cita y no hay manera de que nadie atienda el teléfono. Por suerte,, mi problema no es de tipo nervioso, sino esta gente hubiese acabado conmigo!! En la última llamada, esta de la foto, de unos 10 minutos de espera, me sale un contestador para que valore mi nivel de satisfacción y luego cuelga .. Obviamente, si una relación empieza así .. pues no continua!</t>
  </si>
  <si>
    <t>2025-09-04T15:21:31.125Z</t>
  </si>
  <si>
    <t>Clínica Dermatològica Dermas</t>
  </si>
  <si>
    <t>Pg. de Gràcia, 61 principal, 2a, Eixample, 08007 Barcelona, Spain</t>
  </si>
  <si>
    <t>+34 931 81 01 81</t>
  </si>
  <si>
    <t>visita@dermas.cat</t>
  </si>
  <si>
    <t>Martin Rejmont</t>
  </si>
  <si>
    <t>Highly don’t recommend to waste time here.
Got medication that is available only with prescription. No prescription handed out. I was recommended to raise a request for a teleconsultation. Request since January not answered.
After 2 months of tries to get in touch with the doctor for the prescription, I started to get hardly ignored while 0 willingness to address this situation since the beginning.</t>
  </si>
  <si>
    <t>2026-03-10T16:51:30.661Z</t>
  </si>
  <si>
    <t>Ang</t>
  </si>
  <si>
    <t>Trust their low rating. Dont waste your time.
I thought I would give them a chance despite their low rating and booked an appointment with Dra. Dos Santos for a persistent rash on my neck. She glanced at it across the table for 0.1 second and immediately prescribed me cortisol cream. This should have been my first sign that this appointment was going to be useless but I continued to my second problem of forehead acne after not having acne my whole life. She told me to use Cerave cream and even joked that it’s better to get adult acne than when you’re younger. Seriously? I could have gotten a better consultation from TikTok. Absolutely joke. What an absolute waste of my time.
I felt extremely rushed and completely dismissed like the issue was insignificant and not worth her time. All in all, the consultation lasted about 3.5 minutes. I guess there is a reason I was able to get a consultation with her with 4 days notice when usually dermas are booked out for months. My fault for being so gullible and going there. Don’t make the same mistake!</t>
  </si>
  <si>
    <t>2025-09-27T10:14:15.352Z</t>
  </si>
  <si>
    <t>Vanessa G</t>
  </si>
  <si>
    <t>I had a consultation with Dr. Valeria Borges regarding ongoing issues with my facial skin. While I understand that skin problems can have many underlying causes, I was genuinely surprised by the approach taken during the visit. After asking a few basic questions and briefly examining my skin, the doctor immediately prescribed strong antibiotics without providing any explanation or considering other possible factors. There was no suggestion to wait for blood test results, nor was there any offer to schedule a follow-up appointment. I felt there was a complete lack of empathy and genuine interest in understanding my case.
While I personally chose not to follow the treatment plan due to the unclear diagnosis, I worry that others might trust the recommendation without question—potentially worsening their condition. It’s disheartening to see such a dismissive approach to patient care. I hope this feedback helps encourage more thoughtful and compassionate treatment in the future.</t>
  </si>
  <si>
    <t>2025-04-05T08:46:02.022Z</t>
  </si>
  <si>
    <t>KellyJJ</t>
  </si>
  <si>
    <t>The receptionists are unprofessional and rude. The doctor was in an extreme rush and when I entered the room said: ‘dime’, without even bothering to greet me and without even giving me the chance to sit down. Pure money-making business with little care and interest for patients.
Adding to my review that my visit was with Dr. Calderon, as I can see I am not the only one with a bad experience with her. Why do you not do something about it after so many complaints?</t>
  </si>
  <si>
    <t>2024-06-18T09:29:15.805Z</t>
  </si>
  <si>
    <t>Rebecca Knudsen</t>
  </si>
  <si>
    <t>Absolutely horrible! The receptionists were very sweet and efficient, the place looks ok. But Dr Calderon was very very cold, un attentive, didn’t ask me about family history, did not order blood tests and was as if she just wanted me to leave as soon as possible. I went in for a mole check, which she did in a rush and didn’t give me any reassurance over my concerns. She just really DID NOT care. If you’re working with people and with diseases that can be life threatening, you should maybe not have such a horrible attitude. Really disappointed with the quality of the doctors there. Will never go back and neither should you.</t>
  </si>
  <si>
    <t>2023-06-08T07:53:42.112Z</t>
  </si>
  <si>
    <t>Mary Blackiston</t>
  </si>
  <si>
    <t>Worst dermatology clinic I’ve been to in Barcelona. I went in concerned about hair thinning and the doctor (Dr gassan) spent all of two mins with me, barely even looked at my scalp and then prescribed me medication without explaining anything to me. I will definitely not be returning.</t>
  </si>
  <si>
    <t>2024-06-20T09:30:16.893Z</t>
  </si>
  <si>
    <t>Mariona de la Mata</t>
  </si>
  <si>
    <t>Really poor client service. They hung up the phone whilst I was making a booking. Disappointing.</t>
  </si>
  <si>
    <t>2024-03-22T07:28:40.934Z</t>
  </si>
  <si>
    <t>Eva Garcia</t>
  </si>
  <si>
    <t>N​o recomiendo este centro en absoluto. Tenía cita a las 17.00 de la tarde, como habitualmente espero una media hora para ser atendida no me sorprendo por el retraso, pero a los 45 minutos de espera decido ir a recepción, y ahi me dicen que se han olvidado de anotar mi nombre en las llegadas.
Centro demasiado masificado, al personal le da igual ver a una persona esperando mucho rato y ni se preocupan por lo que haya podido pasar.
El tiempo es un bien escaso y valioso como para perderlo de esa forma. Y una total falta de respeto a las personas preocupadas por su salud.
No volveré, han perdido un cliente.
Como pueden ver en la foto, las visitas son de 10 minutos.</t>
  </si>
  <si>
    <t>2026-02-11T11:05:56.953Z</t>
  </si>
  <si>
    <t>David Moragas (Main Account)</t>
  </si>
  <si>
    <t>Vaig acudir a consulta dermatològica atès per la doctora Patricia Calderón.
Des del primer moment, la professional no es va presentar ni va comprovar la meva identitat. Durant la visita, vaig rebre un tracte que considero humiliant i vexatori, especialment en el moment en què la doctora va fer comentaris despectius sobre la lesió per la qual consultava, i especialment després que li informés (de manera reiterada) que sóc un pacient una mica aprensiu.
Així mateix, no se’m va proporcionar la correcta explicació prèvia sobre el procediment que s’anava a realitzar (només, que em faria "molt de mal") ni se’m va sol·licitar el consentiment informat. Tot seguit, se’m va aplicar nitrogen líquid a la cara, causant-me un dolor intens.
Finalment, en el moment de marxar, la doctora va fer un comentari irònic i humiliant sobre la meva lentitud en vestir-me, cosa que va incrementar la sensació de maltractament.</t>
  </si>
  <si>
    <t>2026-04-01T11:25:10.137Z</t>
  </si>
  <si>
    <t>Beatriz Jareño Ramos</t>
  </si>
  <si>
    <t>Experiencia nefasta.
He acudido para tratarme unas manchas con laser que me salieron después de un brote de acne muy fuerte que tuve.
El doctor Soler no solo se ha negado a tratarme ya que dice que eso en meses o años se eliminan solas  sino que me ha dicho que si me acomplejan unas manchas me vaya al psicólogo.
Para colmo me ha cobrado 100 euros.
No vayáis si no quereis que os depriman y os roben el dinero.</t>
  </si>
  <si>
    <t>2026-02-05T19:34:51.072Z</t>
  </si>
  <si>
    <t>Oriol Borrell</t>
  </si>
  <si>
    <t>absolutamente imposible que te atiendan en el telefono, y tampoco responden los e-mails. Despues de intentar agendar una visita durante dos dias, llamando mas de 10 veces y estando a la espera con la musiquita cada vez mas de 10 minutos hasta que la llamada se corta. He renunciado a ello y he decidio porbar en otro sitio  una perdida de tiempo</t>
  </si>
  <si>
    <t>2026-04-21T09:55:20.074Z</t>
  </si>
  <si>
    <t>Monsero</t>
  </si>
  <si>
    <t>Fui atendida por la Dra. Valeria Borges el 18-2-26, por rosácea. La consulta duró 5 min, me receto una fórmula magistral y una crema solar, un serum y una crema de cortisona para los granos y picores. Su visita 120€, la fórmula 32€, la crema solar 35€, el serum 57€, la cortisona 3€. 247€ y hoy a 7-4-26, tengo la cara tan mal o peor que cuando me visito. Que cada cual saque sus conclusiones.</t>
  </si>
  <si>
    <t>2026-04-07T07:02:21.447Z</t>
  </si>
  <si>
    <t>Transbadal S.L.</t>
  </si>
  <si>
    <t>TITULO: Experiència molt decebedora
El meu nom es Agustí Sánchez, em va atendre la Dra. Patrícia Calderón i l’experiència va ser molt decebedora. Vaig anar per una picor intensa i envermelliment de la pell, però la visita va durar menys de 10 minuts i no va fer cap exploració visual adequada. Tot i demanar-li que mirés una foto d’una infecció prèvia, mentre la buscava va mostrar poca empatia i em va dir que en una altra ocasió anés millor preparat. Tenint en compte que vaig pagar 120 € per la visita, va mostrar molt poc interès i el seu tracte molt poc professional. No em va donar gaire informació ni solucions sobre el meu problema, només un antihistamínic, el qual no m’ha solucionat el problema i continuo amb els mateixos símptomes. Per suposat que no tornaré, ni recomano aquesta clínica.</t>
  </si>
  <si>
    <t>2026-01-08T15:20:39.960Z</t>
  </si>
  <si>
    <t>Gorka Salmeron</t>
  </si>
  <si>
    <t>Vaig decidir venir a aquesta clínica per les bones referències, però la realitat ha estat una autèntica decepció. Des del primer moment, l’atenció ja va ser desagradable: la noia de recepció, amb una actitud freda, distant i gens professional, feia sentir com si estiguessis molestant només pel fet de demanar hora. Una primera impressió nefasta.
La visita amb la Dra. Calderón encara va ser pitjor. He estat a la consulta literalment dos minuts de rellotge. Amb una actitud antipàtica i amb mala cara, pràcticament em va donar un diagnòstic sense ni mirar-me ni escoltar-me. Quan li vaig comentar que el tractament que em proposava ja me l’havien donat abans i que no havia servit de res, ho va ignorar completament. I quan li vaig explicar què era el que em provocava el problema que m’havia portat a consulta, li restava importància com si no em cregués, menyspreant el que deia i sense donar cap mena de valor a la meva opinió.
No poso en dubte la seva formació mèdica, però la manca d’empatia, d’educació i d’interès pel pacient és inadmissible. Una experiència breu, freda i absolutament decebedora, que no recomano a</t>
  </si>
  <si>
    <t>2025-09-22T18:29:10.490Z</t>
  </si>
  <si>
    <t>Pedro Sanchez</t>
  </si>
  <si>
    <t>Soy paciente de estos doctores desde incluso antes que fundaran “la Clínica Dermas”en Paseo de Gracia, cuando aún atendían en la Clínica Cima, antes de que ésta fuera adquirida por Sanitas.
Dermatólogos y personas impecables - el Dr. Segura, la Dra. Bouza, el Dr. Castillo—, pero es una lástima el servicio telefónico que “Dermas” está ofreciendo en los últimos tiempos.
Hoy, 10 de noviembre, me han devuelto la llamada tras varios días intentando agendar una cita con mi Dr de confianza y la primera disponibilidad de día que me han ofrecido es a mediados de febrero… ¿tres meses para conseguir una cita?
Me sabe muy mal, quiero seguir con ellos.., pero es difícil mantener una clientela fiel y bien cuidada con unas agendas tan saturadas. A veces menos es más. Lo digo desde cariño y con la intención de que se tome como una crítica constructiva. Un cordial saludo. Pedro</t>
  </si>
  <si>
    <t>2025-11-12T19:09:08.069Z</t>
  </si>
  <si>
    <t>N J</t>
  </si>
  <si>
    <t>Falta total de empatia. Gran error. Mirad reseñas. Yo lo hice tarde. Tenia cita hace mas de 2 meses con la Dra Teresa Sole para una consulta de dermoestetica.  Me he desplazado de lejos en transporte público y he llegado 15 minutos tarde. La doctora no me ha atendido y ni tan siquiera se han preocupado por ofrecer la opción de visitarme otro día. He perdido 2 horas de mi tiempo para nada. Espero que la doctora sea igual de estricta vs su atencion al paciente.</t>
  </si>
  <si>
    <t>2025-04-23T15:50:53.444Z</t>
  </si>
  <si>
    <t>Alvaro Clavo</t>
  </si>
  <si>
    <t>5 minutos en espera llamando para coger cita y te cuelgan al segundo. Muy mal servicio</t>
  </si>
  <si>
    <t>2026-05-12T17:20:21.873Z</t>
  </si>
  <si>
    <t>Vincenzo Terrusi</t>
  </si>
  <si>
    <t>Personal sin empatía, larga espero, el doctor me ha asistido 1 minuto y me ha dado un fármaco que no me ayudado nada con mi problema. No he ni conseguido poder contactarlo por avisar que no ha funcionado. No rocomandado en absoluto, evitar este centro.</t>
  </si>
  <si>
    <t>2025-10-07T08:20:05.903Z</t>
  </si>
  <si>
    <t>Eva Perales</t>
  </si>
  <si>
    <t>Es mi primera reseña en Google, por si a alguien le ayuda a decidir, no vayas!.
Debe haber otros lugares más amables y profesionales.
Fui para revisar algunos lunares y quitar algunas verrugas.
Sensación de prisa, de ejecutar sin dar mucha información, tampoco mucho acerca de cómo curarlo y poner anestesia sin saber si estoy embarazada o si tengo alergias?.
Y bueno, la simpatía y el buen trato sería quizás mucho pedir.
Me deja muy mala sensación.</t>
  </si>
  <si>
    <t>2025-04-10T18:30:41.720Z</t>
  </si>
  <si>
    <t>Luisa Ba</t>
  </si>
  <si>
    <t>Pésimo servicio de atención telefónica. He llamado, y después de un buen rato en espera me cogen la llamada y me dicen te paso con mi compañera, sigo en espera un buen rato nadie se pone y al cabo de un rato me cuelgan. Vuelvo a intentarlo estoy 9 minutos en espera, algo que ya me parece desproporcionado total, me cogen el telefono diciendo un momento por favor y a los 30 segundos me cuelgan. Mientras he estado mirando las valoraciones de la clínica, y después de tanto comentario negativo casi que me han hecho un favor porque el tiempo es lo más valioso que tengo y no estoy dispuesta a perderlo. Hago este comentario para que quien me lea y lo aprecie no lo pierda tampoco.</t>
  </si>
  <si>
    <t>2025-02-18T16:51:47.765Z</t>
  </si>
  <si>
    <t>Dr. Íñigo de Felipe | Dermatólogo Barcelona</t>
  </si>
  <si>
    <t>C/ de Muntaner, 95-97, Loc, Eixample, 08036 Barcelona, Spain</t>
  </si>
  <si>
    <t>+34 934 67 17 18</t>
  </si>
  <si>
    <t>defelipe@defelipe.com</t>
  </si>
  <si>
    <t>Aleksandra Zaitceva</t>
  </si>
  <si>
    <t>Not recommended. Unprofessional. Very generic approach to the patients. They dont put much attention to your personal skin situation and give same treatment with very strong unnecessary aftertreatment pills which affect your health.
Not caring or asking about you after you did a procedure.
Caring mostly about selling you expensive procedures and their products.</t>
  </si>
  <si>
    <t>2026-05-20T10:48:57.790Z</t>
  </si>
  <si>
    <t>Kaja Langer</t>
  </si>
  <si>
    <t>I had a terrible experience in this clinic, last November I went to try to help with my chickenpox scar on my forhead and now I am left with even bigger probelem,  because another raised,scarred area formed due to the too harsh laser and other procedures done by the doctor, when I went there after 1 month post treatment with worry because the area was still very red I was told that everything looks okay and it wasn’t !! I am now left with a bigger problem, and more expensive to solve, I wouldn’t recommend to anyone unless you want to be depressed and scarred for life!</t>
  </si>
  <si>
    <t>2026-07-01T22:07:07.196Z</t>
  </si>
  <si>
    <t>Manc 11</t>
  </si>
  <si>
    <t>Avoid this place! Worst dermatologist in Barcelona. I would give minus 0 if I could.</t>
  </si>
  <si>
    <t>2022-07-11T13:38:22.932Z</t>
  </si>
  <si>
    <t>Angelina Gonzalez</t>
  </si>
  <si>
    <t>Hace un tiempo me hice láser en la cara y se me había ido la rosácea todo bien hasta que al poco me ha vuelto a aparecer se paga un dineral para que no haga efecto lo que te hacen además de eso dejaron de darme las cremas que me recetaban porque no quise pagar más sesiones cuando teóricamente ya había acabado mi tratamiento. Lo único que quieren es venderte no mirar por tu salud, además de engañarte diciéndote que después del tratamiento solamente vas a tener q hacer 1/2 sesiones al año cuando es mentira te obligan a pagar más de una sino no te dan la receta de las cremas. No le doy menos estrellas porque no se puede</t>
  </si>
  <si>
    <t>2026-03-03T10:36:06.944Z</t>
  </si>
  <si>
    <t>Marta Teixeira</t>
  </si>
  <si>
    <t>Muy mala experiencia. Acudí por picor intenso en todo el cuerpo y el dermatólogo me atendió menos de 5 minutos. Diagnosticó inmediatamente picaduras de chinches y atribuyó el problema a que tenía la piel seca, recomendándome únicamente una crema y un gel que vendían en la propia clínica.
Posteriormente, una empresa de desinsectación y otros 2 dermatólogos confirmaron que no se trataba de picaduras de chinches. El diagnóstico fue erróneo y la actitud poco profesional. No lo recomiendo.</t>
  </si>
  <si>
    <t>2025-12-30T20:59:09.519Z</t>
  </si>
  <si>
    <t>Sergi Martínez</t>
  </si>
  <si>
    <t>Clínica muy bonita a simple vista pero son unos sacacuartos, doctor Íñigo de felipe un vende humos que con su carisma se gana tú confianza, llevaba dos años haciendo tratamientos con el para la piel facial, después de "terminar el tratamiento" según el me decía que podíamos dar por terminado, cuando todavía tengo la piel mal con rosacia, granos y imperfecciones, en vez de preocuparse y ayudarme, y por no hablar de lo carísimo que son los productos que te intentan vender,en conclusión 3.000 € tirados a la basura</t>
  </si>
  <si>
    <t>2025-02-11T19:32:45.311Z</t>
  </si>
  <si>
    <t>Cristian Cortes carrillo</t>
  </si>
  <si>
    <t>Fatal!!!
Buscaba un tricologo, elijo esta clínica y me encuentro que me atiende un doctor especialista en envejecimiento Carlos Lopez , nada que ver con mi problema.
En menos de 5 minutos terminamos la visita intentando cobrarme 2.000 euros para hacer mesoterapias prps etc sin escucharme y sin interesarse lo más mínimo, sin tener idea del tema y explicándole que yo ya había echo todo el tema de mesoterapias , prps etc.
Me han cobrado 50 euros sin saber el problema de mi cabello etc.
Una vergüenza, esperando una resolución.
Pérdida de tiempo y de dinero.</t>
  </si>
  <si>
    <t>2023-05-18T10:19:55.934Z</t>
  </si>
  <si>
    <t>Marc B.F</t>
  </si>
  <si>
    <t>Vaig anar-hi per rosacea, em van intentar vendre un tractament de 500 euros mes productes a part. Al final vaig anar a un altre dermatoleg, amb una crema de 30 euros m’ho va solucionar. Nomes volen vendre’t els seus productes i tenir-te visitant-los cada mes. Gens recomanable.</t>
  </si>
  <si>
    <t>2026-07-26T06:04:32.958Z</t>
  </si>
  <si>
    <t>Esse Pi</t>
  </si>
  <si>
    <t>Muy mala experiencia. Tenía cita a las 17:30 y no me atendieron hasta después de las 18:30. Los recepcionistas fueron poco amables y nada profesionales. Me dijeron que mandara un correo con mi queja y, como era de esperar, nunca respondieron.
La visita con el médico fue superficial. Estaba con mi pareja y a ella le pareció lo mismo. De hecho, la semana anterior ella también había tenido que esperar más de 30 minutos y encima le dieron un diagnóstico equivocado.
Vinimos confiando en las buenas reseñas, pero la realidad es totalmente distinta. Pésima atención, cero profesionalidad. Nunca más.</t>
  </si>
  <si>
    <t>2025-09-08T14:10:20.489Z</t>
  </si>
  <si>
    <t>Carolina</t>
  </si>
  <si>
    <t>Decepcionada de mi consulta con el Dr. Carlos López.
Reservé la cita con la intención de tratar mi melasma además de diseñar junto con él una rutina diaria de cuidado facial adaptada a mi tipo de piel y necesidades (prevenir el envejecimiento, evitar manchas y mejorar la textura).
Lamentablemente, la consulta duró menos de 10min y el doctor no explicó casi nada sobre los activos que puedo usar ni cómo combinarlos. En su lugar, me derivó directamente con la cosmetóloga para adquirir productos en su propia farmacia.
La cosmetóloga me ofreció entre cinco y seis productos de una sola marca, con un valor total aproximado de 400 €, lo cual me pareció excesivo. Además de que no dio mucha orientación sobre alternativas más accesibles o personalizadas. Eso lo esperaba del doctor, aunque ya no tuve la oportunidad de hablar más con él.
Al final sentí que el Dr. Carlos quería terminar la consulta lo antes posible para enviarme a la souvenir shop. No se generó un vínculo de confianza, ya que apenas se ofrece información y todo parece orientado a la venta de sus propios productos.
Respecto al tratamiento para la melasma, poco puedo decir. El doctor indicó que lo más adecuado sería comenzarlo en octubre por la exposición solar del verano, y en ese punto coincido plenamente.</t>
  </si>
  <si>
    <t>2025-07-15T14:52:01.898Z</t>
  </si>
  <si>
    <t>Sonia C</t>
  </si>
  <si>
    <t>Tengo cita en mas de un mes y me piden pagar la visita online al dia de hoy! Ya me parece abusivo pagar un servicio sin haberlo tenido pero exigir el pago para que te mantengan la cita me parece que se ha vuelto una clinica cual el único lucro es hacer dinero !</t>
  </si>
  <si>
    <t>2024-10-05T09:18:05.512Z</t>
  </si>
  <si>
    <t>Pablo Umbert Millet</t>
  </si>
  <si>
    <t>Pl. de Manuel Corachán, 4, Sarrià-Sant Gervasi, 08017 Barcelona, Spain</t>
  </si>
  <si>
    <t>+34 932 80 03 61</t>
  </si>
  <si>
    <t>Maurizio Cibelli</t>
  </si>
  <si>
    <t>Very unfriendly receptionist. Main doctor lacks of emphaty. I will never go there again and I does not recommend it. If you read bad reviews those are the real ones. I was able to interact with another dr who was instead very professional and friendly but that’s not the norm there</t>
  </si>
  <si>
    <t>2018-03-13T16:19:15.666Z</t>
  </si>
  <si>
    <t>Silvana Patrono</t>
  </si>
  <si>
    <t>Mi experiencia personal en esta clinica ha sido horrorosa y me he sentido estafada! Me operaron de un melanoma en la cara, operación que podría haber hecho gratis en la seguridad social, pero que acepté hacer en este centro, pagando 3300 euros, porque me prometieron una reconstrucción que me dejaría sin cicatriz al mes de la operación. Me cobraron 1000 euros más para la reconstrucción, prometiendome reconstruir la cicatriz el mismo día. Sin embargo, me dijeron que cortarían 1,5 cm y me dejaron una cicatriz horrorosa de 8 cms que me atraviesa todo el lado izquierdo de la cara, sin sentido ya que el melanoma no media ni 1 cm y dejándome  con una incisión profunda y muy evidente en la parte final, a 7 cm de lo que era el melanoma. Nunca me comunicaron que de 1,5 cm pasaron a 8, lo descubrí al quitarme el vendaje, horrorizada. El supuesto cirujano plástico, en lugar que minimizar la cicatriz y cumplir con el corte previamente acordado, me desfiguró y cuando pedí explicaciones, intentaron sacarme más dinero con un láser. Tuve varias complicaciones, me pregunto si fue por las condiciones higiénicas que, en mi opinion personal, fueron lamentables en el quirófano: el cirujano llevaba el pelo bastante largo, todo el rato sin el gorro que habitualmente los medicos utilizan en los quirófanos. Me puso la anestesia sin guantes y me tocó la herida abierta sin guantes, tras arreglarse el pelo con las manos. La enfermera tocaba el móvil y mi herida, sin cambiarse los guantes. Se les caían las cosas y las recogían, y sin lavarse las manos/cambiarse los guantes, me tocaban las heridas. Encima, cuando estaba bajo las multiples anestesias, me presionaron mucho para pagar 3300 euros en B, todo en negro, en lugar que con tarjeta. Me han decepcionado mucho porque el resultado no fue lo que esperaba y lo que me habían asegurado. En mi opinion las condiciones higiénicas fueron espantosas por ser un quirófano y cuando estaba en un estado de vulnerabilidad, bajo muchas anestesias, me senti muy incomoda por las presiones de pagar al contado, en lugar que con tarjeta. Lamentablemente mi experiencia aqui fue negativa.</t>
  </si>
  <si>
    <t>2024-11-25T23:04:44.747Z</t>
  </si>
  <si>
    <t>Luigi Centomo</t>
  </si>
  <si>
    <t>Fui a la visita del doctor Humbert hace varios meses después de ser diagnosticado con rosácea.
Había pasado por varios especialistas y ninguno me había ayudado.
Sabía que la consulta tenía un costo elevado pero estaba desesperado asique decidí probar y hacer un esfuerzo para pagarlo.
El doctor entró a la consulta, me hizo varias preguntas y confirmó el diagnóstico.
Luego me propuso hacer una sesión de rayos (de 320 euros con la consulta),  asegurándome que me ayudaría mucho con mi cuadro.
Acepté la sesión, que duró unos segundos, el doctor me prescribió varias cremas y medicamentos y me programó una visita de control para unas dos semanas después.
Al salir me cobraron 350 euros (le dije a la recepcionista que habíamos acordado otro precio pero dijo que ese era el costo por la sesión de rayos).
Dos semanas después volví a la visita de control.
La sesión de rayos no me había ayudado y estaba igual o peor que en mi primer visita.
El Doctor Humbert intentó convencerme de que me veía mejor (a pesar de que me encontraba igual) y me programó una nueva cita.
Le expliqué que después de haber pagado 350 euros en mi primer sesion, no iba a poder seguir pagando los 150 euros que pide por cada visita.
El doctor me dijo que no me preocupe, que no me iba a cobrar por la próxima visita y que incluso podríamos repetir los rayos si fuese necesario.
Un mes después (y después de seguir el tratamiento), volví al consultorio del doctor.
Me sentía igual de mal y seguía sin presentar mejorías.
Lo primero que me sorprendió fue  que el doctor Humbert no tenía idea de cuál era mi diagnóstico ni recordaba haberme dado ningún tratamiento.
Tuve que recordarle nuestras visitas anteriores y después de revisar mi historial en el ordenador, volvió a sugerirme una nueva sesión de rayos.
Yo le dije que aceptaba, pero que no podía pagarle (ya habíamos acordado que no volvería a cobrarme por los rayos), el Doctor Humbert se mostró enfadado y de manera brusca me dijo que no iba a darme ningún tratamiento si no le pagaba.
Yo volví a explicarle que no contaba con el dinero para pagar otra sesión de rayos y le dije que si no mantenía su palabra iba a dejar el tratamiento.
Él intentó mostrarse amable nuevamente, y acabó por escribir una carta de recomendación para un colega suyo diciéndole que por favor me atienda y no me cobre muy caro.
Finalmente me acompañó a la salida, en el caminó les comentó a sus secretarias sobre la carta que me había dado y dijo algo sobre lo importante que es ayudar a la gente.
En conclusión, mi experiencia fue terrible y no recomendaría nunca a este doctor, que en todo momento parece estar más preocupado por el dinero que por la salud de sus pacientes.</t>
  </si>
  <si>
    <t>2023-07-05T11:11:11.281Z</t>
  </si>
  <si>
    <t>Sara Armengol</t>
  </si>
  <si>
    <t>*No te dejes engañar*
Muy insatisfecha, indignada y decepcionada con el trato recibido por parte del Dr. Umbert. Tuve un total de tres sesiones, en cada una de ellas se me hizo esperar un mínimo de 40 min por los que en ningún momento se disculpó.
La actitud y trato del doctor desde el primer momento es de superioridad, con carácter endiosado y no dando espacio a conversar ya que acapara con sus discursos, a mi parecer, pedantes. Cabe a resaltar también la falta de educación al no saludar cuando entra en la consulta así como comentarios muy desagradables y fuera de sí que te hacen sentir inmediatamente muy incómoda.
Como paciente preocupado y lleno de dudas, sales de la consulta con todavía más preguntas, ya que, lejos de no responder a las tuyas, te da la sensación que ni te escucha.
Un trato así no debería darlo nadie, pero menos un profesional de la sanidad privada que te cobra 300e por una consulta de 15 min en la que lejos de sentirte apoyado te sientes muy incómodo.
En resumen, una persona a mi parecer maleducada que deja mucho que desear.</t>
  </si>
  <si>
    <t>2023-09-14T13:46:31.373Z</t>
  </si>
  <si>
    <t>ainhoa sanchez</t>
  </si>
  <si>
    <t>Decepción total con esta clínica, viajé desde Alicante especialmente a Barcelona pensando en que era la mejor opción, cuando llegue allí el doctor me vió con prisas porque tenía que viajar y me dijo que me llamaría 3-4 días después (nunca recibí ninguna llamada) y una semana después supuestamente tenia una cita telefónica con el para el resultado de la biopsia, tras esperar todo el día de hoy y no recibir llamada, decido llamar y la sorpresa es que no tengo ningún cita telefónica. Lo peor de todo es que muy bien me cobraron 400€ para nada. Decepción absoluta.</t>
  </si>
  <si>
    <t>2023-03-31T14:37:53.623Z</t>
  </si>
  <si>
    <t>Rosana</t>
  </si>
  <si>
    <t>Maleducado, desagradable, nula ética profesional y que además, te EXIGE pagar una barbaridad en efectivo y de muy malas maneras por una consulta de apenas 3 minutos sin haberte escuchado, dedicado tiempo y haberte dado un diagnóstico. Una auténtica vergüenza!! Los comentarios negativos hablan por sí solos. No debería estar ejerciendo. Los comentarios de 4 y 5 estrellas se los habrá puesto él mismo porque no lo entiendo…
En respuesta a su contestación:
Efectivamente, ni he sido nunca su paciente ni quiero serlo. Por si no se ha dado cuenta, mi comentario no está hecho en primera persona. ‘El acusador’, como usted lo llama, tiene todo el derecho a permanecer en el anonimato si así lo desea y, ni mucho menos, esto resta veracidad alguna a mis palabras.
Por supuesto que todos podemos tener un mal día y nadie le judga por eso. Parte de tener ética profesional es ser capaz de dejar los problemas personales fuera de la consulta. Si los pacientes que le visitan fuesen a su consulta contándole sus problemas, usted sería terapeuta.
Para terminar, no sé cómo de positivos puede usted interpretar mis comentarios pero espero que al menos, le hayan llevado a la reflexión y a la autocrítica.
Que tenga un buen día.</t>
  </si>
  <si>
    <t>2024-06-06T12:20:45.877Z</t>
  </si>
  <si>
    <t>Neverod doreveN</t>
  </si>
  <si>
    <t>Tras 1h30 de espera, tuve una visita de 15 minutos que pagué 150€. He salido con más preguntas que tenía al venir e incómodo por una auscultación intrusiva sin explicación.
A nivel de medicación, como no él sabía bien lo que tenía, me recetó medicamentos empíricos muy potentes.
También quiero añadir que la seguridad de la clínica fue muy borde conmigo.
En fin, una pésima experiencia que me dejo más trauma que respuestas</t>
  </si>
  <si>
    <t>2022-01-11T16:16:46.449Z</t>
  </si>
  <si>
    <t>LaDisfrutona</t>
  </si>
  <si>
    <t>Fue un buen dermatólogo, AHORA y desde hace muchos años solo le interesa sacar dinero y atender más pacientes por hora que nadie. Te atiende a la vez que otros y va de consulta en consulta, sin poner atención en el paciente,  sale de la consulta y mientras se va a visitar a otro paciente.
No escucha y no te deja hablar, te corta de manera bor de, va con piloto automático y solo te hace sentir un número.
Siempre intenta venderte cosas como si fuese un cu tre comercial.
Te engaña diciéndote que te da una visita de "cortesía" y al final siempre tiene que hacerte un retoque y te acaba cobrando aunque te dice que te hace precio.
Llevó gastados 1000€ para quitarme una peca y aún la sigo teniendo.
Si llegas tarde la recepcionista se lo apunta en la hoja al doctor y luego él te hace esperar el triple o más a modo de castigo.
En resumen:  solo le interesa el dinero y el trato hacia las personas es muy desagradable por no decir pe noso.</t>
  </si>
  <si>
    <t>2024-02-13T01:00:49.300Z</t>
  </si>
  <si>
    <t>da nn</t>
  </si>
  <si>
    <t>Este supuesto especialista de la piel diagnosticó mal un cáncer de piel muy obvio y me apresuró a someterme a una cirugía láser inútil en una serie de otras lesiones benignas, sin detectar el cáncer por completo. Ahora estoy trabajando con un abogado para demandarlo por su negligencia. También es extremadamente poco profesional y hace que los pacientes esperen una cantidad de tiempo inaceptable.
Sé que responderá a esta reseña de una manera muy poco profesional, como lo ha hecho con otras reseñas negativas, violando la confidencialidad del paciente (compruébelo usted mismo) y negando cualquier negligencia (también me acusó de acaparamiento de dinero y recurrió a insultos personales ), pero sabe lo que ha hecho y simplemente le falta el honor y la decencia de admitir su grave error.</t>
  </si>
  <si>
    <t>2022-03-29T05:00:53.687Z</t>
  </si>
  <si>
    <t>Fran</t>
  </si>
  <si>
    <t>Muy descontento con el trato recibido. Primero pides cita con el doctor Umbert y cuando llegas te dicen que no está, no está hoy ni mañana ni el mes que viene, vamos que no está nunca y nos trato una dermatóloga que más borde y prepotente no podía ser.
Intentas explicar el problema y se ríe y te trata de tonto, con unas gesticulaciones de cara ella y la infermera que dejan que desear para un servicios privado.
Yo iba con mutua pero vamos que si llego a pagar el dineral que vale la visita y me tratan así la denunció.
Salí igual que entre sin ninguna solución, peor que la seguridad social.No pienso volver más y os aconsejo que no vayáis ahí dermatologos mucho mejores en Barcelona, es más fui a otro sin tan "nombre" me trataron genial como una persona y no como un número y problema resuelto.</t>
  </si>
  <si>
    <t>2019-11-11T21:35:26.196Z</t>
  </si>
  <si>
    <t>Vambtot</t>
  </si>
  <si>
    <t>No deja hablar al paciente ni lo escucha, solo habla él y de él y sus logros sin parar. No pude ni decirle q su diagnóstico era erróneo ya q otros 8 dermatólogos reputados lo habían descartado a través de pruebas médicas irrefutables. No hay peor professional médico q el q da diagnósticos generalizados sin ninguna base o información del proceso q ha sufrido el paciente. Está tan endiosado q cree q puede diagnosticar sin ni oír el problema del paciente y su evolución. Una verdadera pedida de tiempo y dinero sin duda. 0 recomendable.</t>
  </si>
  <si>
    <t>2019-11-08T12:26:22.643Z</t>
  </si>
  <si>
    <t>Destroyer Heavyrulo</t>
  </si>
  <si>
    <t>Voy a dar mi más sincera opinión, ESE TIPO DE MÉDICOS NO TENDRÍAN QUE EJERCER, MALA PRAXIS EN DIAGNÓSTICO, NO ESCUCHA A EL PACIENTE, DELIRIOS DE GRANDEZA, MEDIOCRE Y SOBRETODO TRATO HUMANO NULO, NADA RECOMENDABLE, CUANDO LE HACES PREGUNTAS COGE SE DA LA VUELTA Y SE VA... UN AUTÉNTICO FIASCO COMO PERSONA Y "SUPUESTO DERMATÓLOGO", PARECE DE CHISTE... ¡ PINTAMONAS Y SACACUARTOS !</t>
  </si>
  <si>
    <t>2023-05-12T05:04:14.950Z</t>
  </si>
  <si>
    <t>Delma Hernández</t>
  </si>
  <si>
    <t>He padecido rosacea durante muchos años estoy en tratamiento con el doctor Pablo umbert he mejorado el 95%de mi rosacea también las manchas oscuras causadas por la misma!!
Estoy enormemente agradecida ,su clínica es una de las mejores de Barcelona recomendadisimo!!</t>
  </si>
  <si>
    <t>2018-09-20T22:21:45.646Z</t>
  </si>
  <si>
    <t>Mona Lisa</t>
  </si>
  <si>
    <t>Muy mala experiencia, no lo recomiendo. Esta totalmente endiosado. No te deja hablar necesita estar todo el rato el dirigiendo y apenas puedes intervenir o expresarte. Solo le interesa que pases por caja ya que te intenta enchufar el laser a la primera de cambio sin que te de tiempo para pensar y decidir ya estas en la camilla con el laser en la cara. Si vuelves su intención de nuevo es volverte ha enchufar el laser, no le importa como estas solo quiere que vuelvas a picar y a dejarte el pastizal para su butxaca. Ya que el laser según el le ha costado muy caro y tiene que amortizarlo, claro...a un precio de mas de 300 euros la sesión digo yo que podría amortizar no uno sino unos cuantos mas.</t>
  </si>
  <si>
    <t>2018-01-21T14:45:28.848Z</t>
  </si>
  <si>
    <t>Rita Alvarado</t>
  </si>
  <si>
    <t>Me visité con la Dra. Yachi por una alergia intermitente que tenía en la cara y otros temas. Hace tiempo que un médico no me trataba tan mal. Estuve a punto de levantarme e irme. No volveré, al menos no con ésta doctora.</t>
  </si>
  <si>
    <t>2019-04-07T06:11:40.273Z</t>
  </si>
  <si>
    <t>Eva Casanova</t>
  </si>
  <si>
    <t>Siempre he tenido buen trato al llegar, sobre todo de los doctores. Sin embargo la atención telefónica muy mala, llegando a colgar dejándote con  la palabra en la boca.</t>
  </si>
  <si>
    <t>2023-05-08T09:12:50.579Z</t>
  </si>
  <si>
    <t>A G</t>
  </si>
  <si>
    <t>2023-05-24T15:45:39.081Z</t>
  </si>
  <si>
    <t>Ayuso FILIGLIA</t>
  </si>
  <si>
    <t>2017-09-10T20:19:06.487Z</t>
  </si>
  <si>
    <t>Ekaterina Shishkina</t>
  </si>
  <si>
    <t>Doctor Pablo is very nice and kind person and he can be really a big expert in dermatology but definately has lack of patience. I had many questions reagarding my acne and possible treatments, expected period and so on... which i think is normal when you are having your first consultation. But the doctor didnt want to listen, was inturapting me, didnt let me to finish and ask what i wanted. Basically he doesnt like questions. But being a doctor its not only about healing, but also supporting. And doctor Pablo doesnt want to know your opinion/ vision.
Another point is prices. Its their buisness how much to charge (140€ aprox), but dont make prices based on your mood. The bill was 150€ by the end of consultation due to it was "long visit", but no one even advise me by phone that price can vary and etc, it was like "doctor decided", but decided based on what.
The visit was dissapointing.</t>
  </si>
  <si>
    <t>2018-12-21T09:29:04.195Z</t>
  </si>
  <si>
    <t>Anna Caballer</t>
  </si>
  <si>
    <t>Un buen trato, pero fui para tratar mi acné y aunque no tenia prisa fue un proceso demasiado largo hasta que parecía bastante curado. La última vez que fui hizo que me sometiera a laser para eliminar manchas casi sin que yo dijera nada y luego al pasar por caja lo entendí... Ahora tengo un rebrote que me ha aparecido hace unas semanas, pero me parece una animalada el precio de la visita. Como último dato, no se puede pagar con targeta, se paga en efectivo y si no tienes pues te hacen ir a una planta inferior a sacar dinero.</t>
  </si>
  <si>
    <t>2019-06-15T13:16:36.937Z</t>
  </si>
  <si>
    <t>Turó Park Clinics | Clíniques Mèdiques i Estètiques Internationals a Barcelona</t>
  </si>
  <si>
    <t>Plaça de Sant Gregori Taumaturg, 5, Sarrià-Sant Gervasi, 08021 Barcelona, Spain</t>
  </si>
  <si>
    <t>+34 932 52 97 29</t>
  </si>
  <si>
    <t>contact@turoparkmedical.com</t>
  </si>
  <si>
    <t>Camilla Brandao</t>
  </si>
  <si>
    <t>I had a really bad experience at this clinic. They messed up my sample and I had to go back so they could collect it again. When I went back I made 1 question to the doctor and because of that she charged me 99 euros as a follow up consultation. They are greedy. She did not seem interested in my question and I did not feel heard. I have been researching other clinics, and they have a much lower price with higher quality. Turo Park charges higher prices because their patients are foreigners. I advise you to look for other options.</t>
  </si>
  <si>
    <t>2026-05-08T07:48:26.396Z</t>
  </si>
  <si>
    <t>Fernanda Montes de Oca</t>
  </si>
  <si>
    <t>The gynecologist saw me 30 minutes late. I understood that it was because her previous patient had complications, but what I did not understand was being treated poorly throughout the entire consultation.
She performed a very rough and aggressive gynecological exam, without any empathy and without warning me beforehand. At no point did she explain what she was doing or ask for my consent in a respectful way.
Throughout the visit, she spoke to me in a condescending and dismissive manner, making me feel belittled and uncomfortable. There were witnesses present — my husband and the assistant — and even the assistant felt the need to step out and apologize afterward, which speaks volumes.
I left the clinic in tears, with no answers, feeling mistreated, humiliated, and completely disregarded as a patient. This was not only a deeply distressing experience but also, in my opinion, a serious lack of professionalism and basic medical ethics.
I would strongly caution others before choosing this doctor. No patient should have to endure this kind of treatment, especially in such a vulnerable setting.</t>
  </si>
  <si>
    <t>2026-05-06T11:15:35.140Z</t>
  </si>
  <si>
    <t>PH. R.</t>
  </si>
  <si>
    <t>I made a medical health check with Turo Park Clinics, approx. EUR 800. Too badly organized, processes not established, too expensive. The breakfast includes a coffee from the employee's coffee machine and a croissant that they just buy at the bakery next door. Instead of measuring your height, they just ask you how tall you are. To know your weight, they tell you it is not necessary to take off the cloths if you stand on the scale, they would just deduct like 2kg for the cloths (and they use a scale like the one we all have at home...:) I could give so many more examples... So: I cannot recommend it to anybody, you better look for another provider, the whole thing is really so poor.
Update 22.6.: obviously and as expected, the reply from the clinic was defensive and suggested critics that I never made (eg I never said the results were not accurate), to distract the attention.
Potential clients: take the time and look for another provider, it is not worth the money you pay.</t>
  </si>
  <si>
    <t>2026-06-23T19:44:37.009Z</t>
  </si>
  <si>
    <t>J AV</t>
  </si>
  <si>
    <t>I went to the clinic with high expectations, but the care I got didn’t really meet them. I noticed a lack of professionalism and seriousness, and it felt like the nurse wasn’t completely sure what she was doing. On top of that, seeing personal interactions between the doctor and the nurse (blonde and short) made me feel the service doesn’t deserve a good recommendation.</t>
  </si>
  <si>
    <t>2026-01-25T18:34:17.464Z</t>
  </si>
  <si>
    <t>Eva Cohen</t>
  </si>
  <si>
    <t>My partner has a lot of pain, so we made an appointment with Turo Park. They said we should be there today at 9.20am. It is 9.30am now and still nobody here. Do you really think you can treat people this way? Is this professionalism? Because in my dictionary it is not. I have used public hospitals in Barcelona that take better care of you. Will absolutely never come back and I hope you won’t go here either. Treating sick people like this, asking them to come here and nobody is there, this is really sickening me to my stomach.</t>
  </si>
  <si>
    <t>2024-01-06T08:24:40.895Z</t>
  </si>
  <si>
    <t>Cees</t>
  </si>
  <si>
    <t>They lost our appointment, and even though we brought printed proof of the emails with their confirmation, they did not help us. Their only excuse was 'sorry, there is no doctor available'. So we lost time and money. They did not offer any compensation for that. Obviously we rescheduled with another doctor. This level of bad organization is unacceptable, especially for a medical service, where accuracy is of the utmost importance.
Update Jan 22, 2026: we sent the email as Turo asked in their reaction below, but we never got a reply.
So that reaction only served to give the impression to readers here that Turo takes complaints seriously. Well, they don't.</t>
  </si>
  <si>
    <t>2026-01-22T06:58:11.607Z</t>
  </si>
  <si>
    <t>Yue Zhao</t>
  </si>
  <si>
    <t>Don’t go to Silvia bonino for ob. She is chronically 30-60min late for her appointments. She sneaks in procedures and tests not included to charge extra when this place is already very expensive for each appointment. And she’s is not skilled with procedures, having to redo routine procedures at the expense of her clients.
They are better at marketing than healthcare and service. Beware.</t>
  </si>
  <si>
    <t>2025-10-10T08:47:32.283Z</t>
  </si>
  <si>
    <t>Daria</t>
  </si>
  <si>
    <t>Absolutely unacceptable service for the price.
I’ve been a patient at this clinic and was prescribed a 3-month treatment. After the first month, I checked with the clinic to see if I needed a new prescription and was told I could continue using the current one.
At my second appointment, the doctor recommended extending the treatment for another 3 months. I continued using the original prescription, as instructed. In the third month, it suddenly stopped working at pharmacies. When I contacted the clinic, I was told I needed to pay extra just to renew the same prescription.
I’m absolutely disappointed with this approach, especially considering I’m undergoing continuous treatment and can’t afford to miss a single dose.
When I asked why no one had informed me of this additional charge earlier — and requested to speak to a supervisor — I was ignored. I also asked to book a follow-up appointment and got no reply.
I paid €290 for consultations and now they expect even more money just to reissue a prescription. On top of that, the receptionist was rude and dismissive, and the communication was completely unclear throughout my treatment.
I’m attaching screenshots so future patients can see the kind of service they can expect for this price. After this experience, I won’t be coming back — there are plenty of better clinics nearby.</t>
  </si>
  <si>
    <t>2025-07-05T14:33:40.173Z</t>
  </si>
  <si>
    <t>Ema Korabska</t>
  </si>
  <si>
    <t>I wouldn’t recommend their nutritionist sector, since it was the most waste of time and money!
The nutritionist only cared about money, and not my actual health and exactly those “professionals” are the ones you should avoid as they don’t do their jobs with integrity and authenticity!!!
Charging me for a simple question on email, after I already paid for the service we had before; despite her constantly saying that I am welcome to reach out any time….
On top of that, none of my issues were actually resolved with the service she provided.</t>
  </si>
  <si>
    <t>2025-11-22T13:40:45.006Z</t>
  </si>
  <si>
    <t>Julia Perrin</t>
  </si>
  <si>
    <t>The worst gynecologist appointment of my life - and I’ve seen a couple of doctors and midwives during the past years! The doctor, Celia Marcos, didn’t take the time to listen and was just focus to end the appointment as fast as possible (8min? Maybe 6 to be honest). I ended up with a non relevant prescription since she didn’t take the time to look at my previous exams. She hadn’t even been careful during the body exam : it was extremely painful. Don’t go there, they’re just here for the money.</t>
  </si>
  <si>
    <t>2025-06-17T20:16:18.695Z</t>
  </si>
  <si>
    <t>Nina Barbagallo</t>
  </si>
  <si>
    <t>Not happy at all: I had a visit with dr. Celia Marcos regarding a possible fungal infection. She performed a very brief visual examination and immediately prescribed medication for a specific type of fungus. I asked whether a swab test might be necessary to identify the exact cause, but she dismissed it, saying it was most likely what she suspected. After a week of treatment — which was costly for both me and my partner — there was no improvement. I then went to another clinic, where they performed a proper swab, and it turned out to be an entirely different issue. I ended up spending a way too expensive price for the visit, a long wait, plus the cost of ineffective medication — with no resolution. It's unacceptable for a doctor to refuse to carry out proper testing. Completely dismissive and arrogant.</t>
  </si>
  <si>
    <t>2025-05-07T13:51:34.284Z</t>
  </si>
  <si>
    <t>Maria Chatzou</t>
  </si>
  <si>
    <t>Stay AWAY from anything that has to do with gynaecology. They had me waiting for over 2 hours, constantly changing the appointment time. The gynaecologist was short and in a hurry to get me out as soon as possible. Also, I was not able to perform the agreed exam, saying it "happens some times". In the end, I still paid for the worst gynaecological exam I have had so far 195 euro. Just stay away. It's not about the money, it's about the experience. Simply put, there is no reason to go to a private medical centre to get a 3rd class public hospital experience and doctor.</t>
  </si>
  <si>
    <t>2025-07-21T11:10:48.661Z</t>
  </si>
  <si>
    <t>Noa Eini</t>
  </si>
  <si>
    <t>Came in after hitting my nose very hard. The ENT was dismissive, mean, and honestly made me sob while in the office.
He confirmed the cartilage was damaged, my nose would likely stay that way. when i asked if surgery was the only solution aesthetically he said i was creating hypotheticals and that’s a conversation for another time because i still have swelling.
When i told him i care for my looks and my nose is different he said “this isn’t about your feelings of being perfect” and said that was an issue i need to discuss with another doctor because he only does noses.
So you imply I’m mentally unwell for caring about aesthetics. Who says that to a 20 year old girl?
He also said there was no way to confirm my nose was straight before except for taking my word on it, would you go to the doctor if something wasn’t visibly wrong? my mother agreed it is not the same and was never crooked he said again there’s no way for him to confirm that.
He was suddenly a very nice guy once i started crying. if you are looking to pay a doctor that invalidates your concerns, shames you for caring about the way you look, all while grinning ear to ear while giving you news that you obviously are not handling well, this is the perfect place for you!</t>
  </si>
  <si>
    <t>2025-07-03T00:51:03.235Z</t>
  </si>
  <si>
    <t>Steve Helba</t>
  </si>
  <si>
    <t>To follow up, the infected wound is MRSA.  Found out from testing at a different facility.
Turo Park never tested the infection to find what type of antibiotic best treats the infection their botched surgery caused. As a result I have had 3 rounds of ineffective antibiotics prescribed by Turo Park. That's 2.5 weeks of antibiotics, and now another 10 days to hopefully treat the infection.
I was recommended a simple mole removal. 2.5 weeks later, after continuously following up for help, I have a severely infected wound, missed many obligations, many sleepless nights, for what should have been a very simple procedure.
They also suspiciously charge. 2 removals was to cost €920, must be prepaid.  But we decided only 1 was necessary. What did removing 1 cost? €800, plus €120 extra in fees. So they would not need to return any prepaid money.</t>
  </si>
  <si>
    <t>2025-06-28T03:16:12.164Z</t>
  </si>
  <si>
    <t>Lauris Skraucis</t>
  </si>
  <si>
    <t>Had a visit with Eduardo Lehrer to check feeling of clogged nose and chronic swallowing and he proposed to do Rhinofibrolaryngoscopy (they insert tube in your nose with camera and go until throat) and when I went downstairs to pay receptionist told it cost 65 euros. Not any any moment was I informed that it costs extra to 150 already paid for the visit. Then the receptionist replied that I can go on turo website and see list of all the procedures and costs but who the hell does that - just inform me I don't have to go though your website and try to remember what costs how much. And Rhinofibrolaryngoscopy showed very little mucus basically my nose is clear and Dr Eduardo told me to buy nose rinse and clean it and come back but of the Rhinofibrolaryngoscopy showed that I don't have accumulation of mucus and I told you I have had chronic swallowing for years and with no surprise the nose rinse didn't help at all.</t>
  </si>
  <si>
    <t>2025-04-28T09:06:16.302Z</t>
  </si>
  <si>
    <t>Lynsey</t>
  </si>
  <si>
    <t>I am sorry to report I had a terrible experience with Dr. Lehrer.
1. He showed up to work late - my appointment was 10am and he rolled in at almost 10.15.
2. He seemed sleepy and uninterested, resting his head on his hand like I was boring him.
3. He hadn’t looked at the CAT scan or analysis I had sent via email, in fact he didn’t recall my email at all. Of course he has many patients, but I would have expected him to have reviewed my details before the appointment.
4. Whilst I was looking for the CAT scan results on my phone, he was quite rude, not listening to what I was saying and I had to repeat myself 3 times.
In the end, I left the appointment. It was clear that this doctor had no interest in helping me, and he didn’t seem at all bothered when I said I was leaving his response was “ok’.
This is a very expensive clinic that doesn't work with insurance.If a consultation costs 150 euros the least I would expect is that the doctor can show up on time, be prepared with my history, and have an excellent bedside manner.</t>
  </si>
  <si>
    <t>2024-06-20T10:15:26.609Z</t>
  </si>
  <si>
    <t>Yuliya Boroday</t>
  </si>
  <si>
    <t>Today I have spent 1,5 hour waiting for my appointment and did not get the doctors consultation at the end. I went to reception multiple times asking if I will see the doctor at the end and they reassured that he is still with the previous patient and I should wait. When I came to reception for the 3rd time they said that doctor has an emergency and won’t be able to see me. The problem is that it was already time when this doctor leaves the clinic and obviously they just forgot about me. I left disgusted that they lied and I could not have my consultation today.</t>
  </si>
  <si>
    <t>2025-03-18T17:12:34.639Z</t>
  </si>
  <si>
    <t>Anastasiia Kotko</t>
  </si>
  <si>
    <t>I was very unsatisfied with the way this clinic treated me a year ago. I had a urinal tract infection. I was in pain and got an appointment. The doctor said that there was nothing she could do. When I insisted that it hurt to pee and I was ready to run any tests if needed, the urine samples were collected. But then I never had the results sent to my email. I was prescribed ibuprofen only, when I really needed antibiotics. Then I visited a clinic one more time and ask to email me my test results, but I never got them. Not to say that it was unreasonably expensive for that kind of service.</t>
  </si>
  <si>
    <t>2024-02-27T21:33:01.905Z</t>
  </si>
  <si>
    <t>Elisa Laffi</t>
  </si>
  <si>
    <t>UPDATE: from 3* to 1* as my 24h results were due today (24h service) and are now delayed.
PREVIOUS REVIEW: If you have an appointment with the nurse, as soon as you step in you must ask if she is currently busy (ie. in the operation room) as there is only one. I was not told and even if the receptionist was very apologetic I was left to wait for one hour before I gave up. Must say I was pretty disappoint considering the nature of this clinic.</t>
  </si>
  <si>
    <t>2023-09-14T15:04:14.326Z</t>
  </si>
  <si>
    <t>Anne N</t>
  </si>
  <si>
    <t>Complete lack of transparency of pricing, came for travel vaccination and was charged 175€ for doctor consultation + the fee for the vaccine and when I came back 6 months later they charged me AGAIN 175€ for the “consultation”. + vaccine costs. When I said to reception that 200€ + for a booster is beyond believe, they only kept saying that this is the price. Only after I put in an official complaint they refunded me the consultation cost partially (still had to pay 90€ for absolutely nothing). Lesson for me, and others, ask for the price before hand or you will be left with a nasty surpise at the end</t>
  </si>
  <si>
    <t>2024-06-12T15:42:21.347Z</t>
  </si>
  <si>
    <t>Clínica Olivé Gumà</t>
  </si>
  <si>
    <t>Carrer del Torrent de l'Olla, 1, Gràcia, 08012 Barcelona, Spain</t>
  </si>
  <si>
    <t>+34 932 70 54 00</t>
  </si>
  <si>
    <t>Porter Grubbs</t>
  </si>
  <si>
    <t>Came here to see Dr. Giron about abdominal symptoms. He was immediately patronizing, saying "this generation" is so sensitive (??), and he refused to speak with me in English even though he had just been speaking English with the patient before him. I spoke with him in Spanish, but still he barely listened to me, didn't ask me any questions, made generalizations and assumptions with no information besides a hunch.
Half way through our session the receptionist walked into the room without knocking, didn't acknowledge my presence, and started speaking with the doctor. Just before he left he looked my direction and said, "sorry." Since when is it okay to barge in on medical consultations?
Giron made no effort to walk me through his evaluation process or help me understand my symptoms. He assumed my exercise regimen, I guess just on the basis of me being male because he never asked me to give him any details about my habits or experiences. I left feeling humiliated and less certain than when I'd arrived.
On the bright side, the security guard was kind. Would recommend saying hello to her and then heading to a different clinic.</t>
  </si>
  <si>
    <t>2025-11-12T18:57:51.245Z</t>
  </si>
  <si>
    <t>Sophie Snowball</t>
  </si>
  <si>
    <t>Really us a place that makes you anxious. I dont understand the point in making an appointment if they have the inability to stick to it. I have waited for 2 hours before in radiology for an MRI. Speaking to the staff is a waste of time unless you want to become more agitated. As if they're time is more important.
After posting the top part of this review I was asked by the hospital to send them an email about my experience and that they would look into my case. No reply. What a surprise!</t>
  </si>
  <si>
    <t>2024-02-13T08:16:02.811Z</t>
  </si>
  <si>
    <t>Lisa Stenvinkel</t>
  </si>
  <si>
    <t>Terrible place. Waiting times over an hour everytime I go. Doctors don’t look at you, only at their screens and don’t take more than 10 mins per visit.</t>
  </si>
  <si>
    <t>2025-11-12T12:18:59.415Z</t>
  </si>
  <si>
    <t>Amber van der Steen</t>
  </si>
  <si>
    <t>worst gynaecologist i’ve ever been to. the woman was short with me, told me nothing about the procedure. at the end of the appointment for inserting a IUD (copper) she didn’t wash her hands before opening the door to her office to let a couple in WHILST i was still gathering my belongings and in hellish pain.
the staff at reception i don’t have any words for. rude. and the waiting time was far longer than usual in a doctor’s office.</t>
  </si>
  <si>
    <t>2024-05-22T11:18:33.933Z</t>
  </si>
  <si>
    <t>Caroline Mol</t>
  </si>
  <si>
    <t>I have been a few times here over the past few years and every time when I’m here, I realize that the waiting times (despite making an appointment) exceed all expectations: easily up to 40 mins if not more.
The quality of the doctors vary heavily as well: I had a terrible experience with the gynaecologist (found another clinic for that), the  GP is decent and the dermatologist I can’t tell yet. The inability to schedule properly is simply very annoying.</t>
  </si>
  <si>
    <t>2021-06-17T10:32:19.136Z</t>
  </si>
  <si>
    <t>max</t>
  </si>
  <si>
    <t>Already 30 minutes on hold to get an appointment
Edit: gave me probably on purpose wrong information on phone. They have a hard time as well speaking Spanish. Avoid at all cost if you have other options.</t>
  </si>
  <si>
    <t>2025-09-10T17:14:36.455Z</t>
  </si>
  <si>
    <t>Rémy Bourzade</t>
  </si>
  <si>
    <t>I called once, and after 10 minutes waiting: they hung up before I could even say hello.
Tried again later: no response after 15 minutes. I am already super happy with the premium service of Adeslas</t>
  </si>
  <si>
    <t>2020-10-20T16:10:52.026Z</t>
  </si>
  <si>
    <t>Pablo Barrera</t>
  </si>
  <si>
    <t>Warning!!! this people have serious problems managing time. Their employees including their questionable medical staff, do not show any respect for people’s time. Bring a book and patience. You can wait up to 1 hour for your appointment.</t>
  </si>
  <si>
    <t>2022-01-12T13:52:51.533Z</t>
  </si>
  <si>
    <t>Fernanda Medeiros</t>
  </si>
  <si>
    <t>Do not go to this place. I do not know which one is worse, if Adeslas or the clinic itself. But if you are prepared to feel anger and stress, go and give them your money, as this is all that is going to happen there. A total waste of time and money. Loads of it.</t>
  </si>
  <si>
    <t>2021-05-11T09:04:01.773Z</t>
  </si>
  <si>
    <t>Carders</t>
  </si>
  <si>
    <t>really bad costumers service, speand 10 minutes with a computer and when i was supposed to speak with someone the call drops...
2 times!!</t>
  </si>
  <si>
    <t>2023-03-24T17:18:13.779Z</t>
  </si>
  <si>
    <t>A V</t>
  </si>
  <si>
    <t>Terrible customer service! They answer, put you on hold for ages and then they put the phone down.</t>
  </si>
  <si>
    <t>2023-04-14T08:37:07.009Z</t>
  </si>
  <si>
    <t>Roanne Altea</t>
  </si>
  <si>
    <t>Muy mal y MALAS EDUCADAS Atención telefónica para pedir cita. Primero me contestan y nomas al decir hola me dicen “espera un momento” así de secas y nada más. La espera con la música me ha durado más de 5 mins. Llamo otra vez. No me cogen. Por la 3era vez llamo, me cogen la llamada una chica y mientras estaba hablando yo ella estaba hablando con alguien a carcajadas jiji-jajaj. Luego me dejan en silencio SIN DECIRME NADA, hablo porque no sé si me han atendido o me han escuchado y me responden con el tono molesto “sí, esque te estoy mirando la fecha!” Pero que servicio de mierda es esta?? Me está doliendo muchísimo el pie y necesito a que me lo mirarán enseguida no es porque estoy para malgastar mi tiempo. Tenéis un servicio de Atención al cliente de mierda. Son muy malas educadas. Que para eso me busco otro centro médico. Con razón no me sorprende que ni llegáis a 3 estrellas.</t>
  </si>
  <si>
    <t>2026-04-27T12:22:56.945Z</t>
  </si>
  <si>
    <t>Marta Miguel Paul</t>
  </si>
  <si>
    <t>Tres dies seguits trucan varies vegades al dia per intentar reprograma una cita… impossible que m’agafin el teléfon. Com a sanitaria estic en contra dels pacients que no es presenten a les visites programades sense avisar/cancelar. No obstant, no em queda més opció.</t>
  </si>
  <si>
    <t>2026-06-02T17:30:09.515Z</t>
  </si>
  <si>
    <t>Mara N</t>
  </si>
  <si>
    <t>Fui a pedir una autorización de Adeslas para unas analíticas solicitadas por mi doctora habitual y me asignaron el “doctor” Sergi Girón Morilla. Menudo show. El trato fue desconcertante, con una actitud gratuitamente agresiva y despectiva. Viendo además otras reseñas similares, un centro médico respetable ya le hubiera despedido.
Primero me increpó por haber preguntado en recepción si había mucho retraso y después criticó de forma muy ofensiva el trabajo de mi doctora, concluyendo que esas pruebas eran demasiado caras. Finalmente me echó de su despacho de mala manera sin concederme la autorización cuando me negué a contestar una pregunta personal ajena al motivo de la consulta.
Es fácil tratar así a una mujer inofensiva. Me apuesto que no se atrevería con un hombre de su mismo tamaño.</t>
  </si>
  <si>
    <t>2026-05-23T04:54:50.914Z</t>
  </si>
  <si>
    <t>Vanessa Fernandez Redondo</t>
  </si>
  <si>
    <t>Mi experiència en la clínica fatal,con el Dr Olivé una experiència super negativa,muy muy seco…:no me presto ninguna atencion.Su única preocupacion era que un paciente se habia retrasado y delante mia dijo”h….pta, ahora viene”Me he quedado en shock;por todo lo q dijo porque habia visto q el paciente estaba en la sala de espera.
Los recepcionistas me pidieron disculpas;por la parte que les tocaba y me comentaron que estaban acostumbrados.
Con esto …no volvere nunca mas a su consulta!!!!</t>
  </si>
  <si>
    <t>2026-05-12T14:41:09.598Z</t>
  </si>
  <si>
    <t>Inma</t>
  </si>
  <si>
    <t>Es inadmisible que sea imposible contactar por teléfono con la clínica. Llevo varios días llamando y quedándome a la espera más de media hora sin que me atiendan.
Es indignante que la clínica no tenga un servicio de atención telefónica exclusivo y tengan que atender las personas que están en recepción el teléfono. Pese a los buenos médicos que hay, es imposible contactar con la clínica.
¡Pongan un servicio de atención telefónica exclusivo!</t>
  </si>
  <si>
    <t>2026-07-14T09:38:01.471Z</t>
  </si>
  <si>
    <t>Xavi S</t>
  </si>
  <si>
    <t>Una falta de respeto total. Una hora y 50 minutos de espera para ser atendido por la Dra. G. Márquez (dermatología), a pesar de tener hora concertada.
¿Para qué dan cita y hora si la incumplen con alevosía?
No volveré más.</t>
  </si>
  <si>
    <t>2026-04-09T09:46:18.933Z</t>
  </si>
  <si>
    <t>Francisca Sánchez</t>
  </si>
  <si>
    <t>Es imposible conseguir una cita médica por teléfono.
Necesito urgente una cita para un familiar que tiene un seguro médico como extranjero, por lo tanto, al no tener documento español, no puedo acceder a citas a través de la página web.
Después de infinitos minutos al teléfono, las personas levantan el auricular y cuelgan! ES UNA VERGÜENZA!
Dos días llamando y es imposible comunicarse!</t>
  </si>
  <si>
    <t>2026-04-14T08:54:05.645Z</t>
  </si>
  <si>
    <t>M C</t>
  </si>
  <si>
    <t>El personal es muy amable, pero pongo baja puntuación ya que contactar por teléfono es imposible. Tardas al menos 30 minutos, y a veces es imprescindible ya que por la web hay cosas que no se pueden gestionar.
Tendrían que poner una solución. No puede ser que con temas médicos estemos así.</t>
  </si>
  <si>
    <t>2026-04-13T08:51:50.427Z</t>
  </si>
  <si>
    <t>Erola lola</t>
  </si>
  <si>
    <t>No agafen mai el telèfon per demanar cita. Has de trucar 3 cops mínim. És vergonyós, i ja fa temps que passa i no posen remei.</t>
  </si>
  <si>
    <t>2026-04-29T17:50:21.302Z</t>
  </si>
  <si>
    <t>Granada Dermatology Clinic</t>
  </si>
  <si>
    <t>C. Pedro Antonio de Alarcón, 65, Ronda, 18003 Granada, Spain</t>
  </si>
  <si>
    <t>+34 958 27 22 03</t>
  </si>
  <si>
    <t>clinicadermagranada@gmail.com</t>
  </si>
  <si>
    <t>Damian Gamez</t>
  </si>
  <si>
    <t>Mi experiencia no ha sido buena. Acudí a la clínica para un retoque que me correspondía, pero finalmente cobraron de nuevo la sesión, cuando era un retoque incluido.
Considero que hubo una falta de claridad y de gestión por parte del centro, ya que expliqué desde el principio que se trataba de un retoque.
La política aplicada en mi caso me pareció poco justa y nada orientada al cliente. Recomiendo pedir toda la información por escrito antes de realizar cualquier tratamiento para evitar situaciones similares.</t>
  </si>
  <si>
    <t>2026-05-11T10:01:59.344Z</t>
  </si>
  <si>
    <t>Miriam Ortega</t>
  </si>
  <si>
    <t>No son buenos profesionales. No recomiendo esta clínica. Fui por un problema dermatólogico y no me hicieron ningún estudio de la piel. Sin mirar a fondo que tipo de piel tengo y sin preguntarme si tengo alergias o patologías me mandaron cremas. 80€ por 10 min de consulta. Una falta respeto. Te atienden mejor en la sección de cremas del Primor. Espero que tengan vergüenza y no me contesten diciendo que ese es el protocolo como he leído en otro comentarios.
P D: las chicas de recepción son muy profesionales y agradables</t>
  </si>
  <si>
    <t>2025-10-21T07:26:55.214Z</t>
  </si>
  <si>
    <t>Daniel Sánchez Frontana</t>
  </si>
  <si>
    <t>Acudí a la consulta para tratar unas secuelas cutáneas (ronchas y fuerte picor) derivadas de un tratamiento previo contra la escabiosis que sufrí hace meses y del cual ya estaba curado. La doctora M. C. me realizó una exploración de apenas 5 minutos. Aunque admitió no encontrar signos de la afección activa, me prescribió repetir el mismo tratamiento fuerte, demostrando además poca claridad sobre la pauta del mismo.
Ante la incongruencia de repetir un proceso tan abrasivo sin síntomas y sin evidencias de la enfermedad le pedí explicaciones. Su respuesta fue soberbia y altanera, cuestionando mi derecho a preguntar y a cuestionar su veredicto. Ante su falta de empatía y rigor, acudí a otro dermatólogo, cuyo diagnóstico determinó que sufría dermatitis atópica aguda, y este si me dio una atención humana y se preocupó por mi historial clínico sin intentar despacharme lo más rápido posible como hizo ella. Seguir las indicaciones de la doctora habría dañado por completo la barrera de mi piel la cual ya estaba bastante delicada. Bajo mi punto de vista, su atención no solo fue deficiente y carente de educación, sino perjudicial para mí salud. No recomiendo en absoluto esta clínica.</t>
  </si>
  <si>
    <t>2026-06-04T12:18:04.826Z</t>
  </si>
  <si>
    <t>Maria Blesa Martín</t>
  </si>
  <si>
    <t>Asísti a esta clínica para quitarme tres lunares situados en la cara. Me dijeron que no había problema y que el resultado sería óptimo. Al tiempo tuve que volver asistir porque seguían apareciéndome los lunares. Me atendió la doctora Mari Cruz. En la segunda intervención ni si quiera se me anestesió la zona provocando un dolor elevado y el trato no fue el correcto ya que ni se me explicó los cuidados ni nada de información al respecto. Acudí una tercera, en este caso la doctora Marta me atendió de manera excepcional y explicándome en todo momento la intervención que iba a realizar. Después de 3 sesiones sigo teniendo los lunares y no me recomendaron volver a quemarlos por la posible cicatriz que se quedaría. En conclusión he invertido un dinero en el cual no me han solucionado la consulta inicial, quedándose cicatrices visibles.
Viendo que en vuestra respuesta dais a entender que los otros que me quitaron, no tuvieron que retocarse, en la segunda visita si fue necesario retocarlos. En la tercera visita se me dijo que no era conveniente volver a retocarlos por una cicatrización visible, que puedo adjuntar fotos de que todavía se ve lunar , en uno de ellos se ha quedado tejido cicatrizal visible.  En ningún momento se me comentó que esto podría pasar y que después de 3 asistencias  las cuales dos de ellas fueron mal atendías, siga teniendo los lunares.</t>
  </si>
  <si>
    <t>2025-10-27T19:58:03.648Z</t>
  </si>
  <si>
    <t>clara diaz boonyakhet</t>
  </si>
  <si>
    <t>mi marido ha tenido una pésima experiencia en esta clínica, no se ha sentido escuchado en ningún momento ni que hayan valorado sus preferencias, parecía más un proceso mecanizado en el que no escuchan al cliente, sinceramente es una pena clínicas así, que prefieren cobrar 1 consulta y perder a un cliente fijo, como dicen, “pan pa’ hoy y hambre pa’ mañana”</t>
  </si>
  <si>
    <t>2026-04-23T08:10:14.032Z</t>
  </si>
  <si>
    <t>malusi rodriguez</t>
  </si>
  <si>
    <t>Iba por una mancha en la pierna que me supuraba.La médica no le vio patología grave .Me propuso quitarla con láser añadiendo 20€ a los 80 de la consulta.Una vez quitada me puso una mínima tirita y que me curarse con cristalina y nada más. Tuve que informarme por Internet de la cantidad de cuidados que requería. Ha pasado un mes y todavía sigue delicada.
Bien hecho pero mucha prisa y poca atención.</t>
  </si>
  <si>
    <t>2025-07-02T14:43:57.006Z</t>
  </si>
  <si>
    <t>Pepa Merlo</t>
  </si>
  <si>
    <t>Mi mala puntuación NO es a los profesionales de la clínica, es al funcionamiento y personal de recepción de la clínica. Ni se les ocurra intentar contactar por teléfono. 38 Llamadas sin suerte. Desesperante. Veremos si al menos contestan al correo...</t>
  </si>
  <si>
    <t>2026-02-03T11:51:36.543Z</t>
  </si>
  <si>
    <t>Guille Burgos</t>
  </si>
  <si>
    <t>Pedí cita hace casi 2 meses con cita hoy. Nada antes
Después de pillar algo de trafico y problema aparcando les llamo al menos 5 veces sin respuesta. A la sexta  me cogen y les aviso que voy a llevar 10 minutos tarde.
Ya no me garantizan que me vayan a ver hoy y me animan a que cancele la cita.
Habría entrado justo a la hora de la cita si hubiese llegado a tiempo? Todos sabemos que no. Ahora un pequeño retraso por parte del cliente supone una cancelación o esperar alli toda la tarde como sugirió la recepcionista</t>
  </si>
  <si>
    <t>2025-05-05T16:24:43.302Z</t>
  </si>
  <si>
    <t>Alicia Del Castillo</t>
  </si>
  <si>
    <t>Lo que es el tema de citas...esperpéntico. Hay gente que venimos de los pueblos y nos toma tiempo llegar. Yo pillé un atasco de media hora esta mañana, eso es algo incontrolable al final ...porque habían cortado la calle que comunica la salida a Pedro Antonio. Total , llamé cuatro veces para avisar y que se me colocará aunque sea al final. Ni cristo cogió el teléfono. Llego, les explico todo y me dejan por mentirosa, que ellas han estado cogiendo el teléfono. Trabajo de cara al público y atiendo clientes y tú lo que no puedes hacer es mentirle a la gente y ridiculizarla encima, como si yo ni me hubiese molestado en avisar. Cosa que si hubiese hecho, encima, es una falta de respeto. Me callé por educación y no decirle cuatro cosas bien dichas. Llevo viniendo a cientas de sesiones de láser y ya me han atendido bastante regular. Sistema de citas muy mal. Jamás cogen el teléfono. Como no vayas en persona, te puedes disecar esperando.
Estoy leyendo las respuestas que da la empresa a las malas reseñas y en el 90% dejan al cliente como mentiroso. Esto dice muchísimo de su filosofía y la manera de echar pelotas fuera. Nada más que leer las respuestas a las quejas de la gente. Normal que estén diseñadas para atender de esa manera. Si las chicas dan las mismas respuestas que se dan en las reseñas jajajajaja. Visto y no visto.</t>
  </si>
  <si>
    <t>2025-03-25T09:34:34.134Z</t>
  </si>
  <si>
    <t>Puri Diminguez</t>
  </si>
  <si>
    <t>Estoy de acuerdo con el resto de comentarios negativos. La dermatóloga que me atendió me "resolvió" las dudas con prisa sin dedicarme un tiempo prudente. No lo recomiendo. Precio excesivo para la atención.
Lo único bueno, las chicas de recepción que son encantadoras y hacen bien su trabajo</t>
  </si>
  <si>
    <t>2025-10-21T07:37:08.842Z</t>
  </si>
  <si>
    <t>elena tapia garcía</t>
  </si>
  <si>
    <t>Me hice el láser Alejandrita con ellos y después de un montón de sesiones no vi resultados como me dijeron, al pedir  una revisión para ver porqué no funcionaba, muy mala reacción por parte de la doctora estando a la defensiva y sin buscar ninguna solución nada más que más sesiones, que para nada económicas, ademas de que subieron el precio durante el tratamiento, en vez de decir que alomejor ese láser no funcionaba por mi tipo de pelo o cualquier cosa, ser honesto almenos. No había ningún seguimiento ni interés en ver si te funciona o no, nada.</t>
  </si>
  <si>
    <t>2025-04-21T13:19:30.263Z</t>
  </si>
  <si>
    <t>Maria Cardenas Ubeda</t>
  </si>
  <si>
    <t>Muy poco tiempo, menos de 10 minutos para revisión de lunares de dos niños. Pensé que la revisión  iba a ser de todo el cuerpo con más detenimiento en cada uno de los lunares que para eso la consulta de cada uno son 80 euros. El trato no fue malo pero poco profesional y queriendo acabar pronto porque había más pacientes, pensé que se miraba todo el cuerpo pero con dos que les vio a cada uno fue suficiente...si consiste en eso el precio me parece demasiado.</t>
  </si>
  <si>
    <t>2025-04-26T21:05:50.398Z</t>
  </si>
  <si>
    <t>JOSÉ CARLOS</t>
  </si>
  <si>
    <t>Fui con mi hijo a que le quitarán unas verrugas de los dedos de un pie. El médico después de muchos para bienes me dice, mejor que se eche una crema y se le caerán con el tiempo. Total, 75 € de la cita y no le hicieron nada. Al final tuve que ir a otro sitio donde si se las quitaron.</t>
  </si>
  <si>
    <t>2025-07-23T10:37:07.408Z</t>
  </si>
  <si>
    <t>Juan Navarro</t>
  </si>
  <si>
    <t>Muy poco formales. Recomiendo solicitar presupuesto por escrito, porque si luego decides realizarte el tratamiento te dicen que son muchas cosas lo que te vas a hacer y que ya está bien, que pidas más citas. La cara de tonto que se te queda..., tienen poca vergüenza.</t>
  </si>
  <si>
    <t>2025-03-06T06:05:19.263Z</t>
  </si>
  <si>
    <t>Irene San pedro triviño</t>
  </si>
  <si>
    <t>Tras realizarme tratamiento con botox e ir hasta en tres ocasiones a la revisión y repaso porque no me veía los resultados que se esperan, al mes es como si no me hubiera puesto absolutamente nada. Nada recomendable el tratamiento de toxina botulínica.</t>
  </si>
  <si>
    <t>2025-10-08T09:24:38.048Z</t>
  </si>
  <si>
    <t>David Caña Roca</t>
  </si>
  <si>
    <t>NO VUELVO MAS EN LA VIDA!!
Pues he tenido dos o tres citas ahí y siempre ha sido raras, era poco tiempo 2/3 minutos de citas y 50 pavos (la primera 70)
Pero es que la última vez aparte de la clavada! ni me examinaron, simplemente me dijo lo que tenía (que ademas era irreal) con la argumentación de que ella había estudiado dermatología y yo no.... A cuadros, si volviese a tras en el tiempo no dejaba ahi ni UN €€.</t>
  </si>
  <si>
    <t>2024-11-28T12:29:55.183Z</t>
  </si>
  <si>
    <t>Miguel Angel</t>
  </si>
  <si>
    <t>Mala experiencia en la primera visita.
Fui para preguntar tratamiento de hiperhidrosis en la planta de los pies y me recomendaron un producto que tras consultarlo en la farmacia es exclusivo para axilas, el mismo prospecto indica no usarlo en pies y manos.
Del mismo modo consulté por un quiste de grasa en la espalda, y tras revisarlo me recomendaron aplicar una crema para reducir la inflamación. Pues bien, en la farmacia también me confirmaron que esa crema está indicada para las rojeces de la piel, y me sería un poco inútil.
Desistí de comprar nada de lo indicado para ambos casos, productos muy caros y no indicados para mis problemas.</t>
  </si>
  <si>
    <t>2024-07-19T10:47:40.555Z</t>
  </si>
  <si>
    <t>elena rodriguez</t>
  </si>
  <si>
    <t>He sido paciente por problemas de marcas de acné, al principio confíe en la profesionalidad y en los productos que me mandaban (nada económicos) pero al enterarme que el doctor y la marca de los productos que me vendían estaban en acuerdo deje de confiar en la veracidad del profesional (siempre iba a la farmacia que él me recomendó y allí me comentaron que tenían un acuerdo el doctor y la marca), pues no se si de verdad estaba ayudándome o sacando partido de mi situación. Bastante descontenta y dinero perdido. Aún que me atendían bien, no sentí en ningún momento sensación de ir a mejor. Por no hablar del coste de las consultas que no duraban ni 10 minutos.</t>
  </si>
  <si>
    <t>2022-09-19T22:51:20.787Z</t>
  </si>
  <si>
    <t>Patricia Petra</t>
  </si>
  <si>
    <t>Está mañana fui hacerme el láser completo, como no daba tiempo ha terminarlo hoy acorde con la especialista en pagar en la próxima cita una vez completado el tratamiento.
Salgo a la recepción y le explico a la recepcionista el acuerdo que habíamos llegado (como otras tantísimas veces con la especialista) y la cita para la próxima sesión. Lo primero que me encuentro una rápida mirada a mi vestimenta (chándal, zapatillas y una cola, no me apetece ponerme de punta en blanco para que me hagan el láser) y me increpa la recepcionista que lo normal es que si una persona se hace un tratamiento lo pague una vez finalizado ( la recepción llena de gente y escuchando la conversación) a lo que yo le vuelvo a explicar la situación un poco más tensa y le digo que no llevaba el dinero en ese momento y que soy clienta de hace muchos años y que no es la primera vez que hacemos esto. Esta recepcionista me vuelve a mirar y me dice que tengo que pagar, a lo que llamo por teléfono para que la persona que me estaba esperando se acercará para darme el dinero y pagar el láser que estaba incompleto. Mientras tanto la recepcionista n°2 tiene la brillante idea de informar a la especialista que me trata y me repite varias veces que va a ir a hablar con ella por si yo reculaba.
Durante este tiempo la recepcionista sigue increpandome para que pagará y llega mi acompañante saca el dinero para pagar mi tratamiento incompleto y corriendo viene la recepcionista n°2 que mi especialista corrobora mi versión y que no pagará a lo que me niego y pago lo que corresponde del trabajo incompleto.
Nunca me he sentido más humillada por una persona muy poco profesional, sin competencia ninguna, prejuiciosa y carente de neuronas probablemente de tanto botox y estiramientos faciales.
Si está persona trabajará en mi empresa sería despedida de manera fulminante ya que prefiero perder un mal empleado que clientes.
Además los de recursos humanos deberían  de fijarse menos en la imágen corporativa y más en otras virtudes profesionales para el mejor desarrollo del trabajo y las competencias dentro de la empresa.
Un saludo.</t>
  </si>
  <si>
    <t>2023-12-28T13:14:34.354Z</t>
  </si>
  <si>
    <t>marymar martinez garcia</t>
  </si>
  <si>
    <t>5 minutos de mirar lunar por encima y 80-100€ tirados. No recomendable poca profesionalidad</t>
  </si>
  <si>
    <t>2025-12-11T01:17:40.813Z</t>
  </si>
  <si>
    <t>IMDE - Madrid Institute of Dermatology and Aesthetics</t>
  </si>
  <si>
    <t>C. de José Lázaro Galdiano, 4, Chamartín, 28036 Madrid, Spain</t>
  </si>
  <si>
    <t>+34 914 46 80 55</t>
  </si>
  <si>
    <t>Clara MaCu</t>
  </si>
  <si>
    <t>Quisiera compartir mi experiencia en esta clínica estética, específicamente con el profesional que me atendió Dr. Sopena, para que futuras clientes puedan tomar una decisión informada antes de acudir a este lugar. Desafortunadamente, los dos tratamientos que recibí no cumplieron con mis expectativas.
El primero, un tratamiento con botox, resultó en la caída de uno de mis párpados, un efecto secundario indeseable que me afectó significativamente. A pesar de mis esfuerzos por obtener una cita de seguimiento para corregir o al menos mitigar este problema, me encontré con la dificultad de que el profesional estaba constantemente "demasiado ocupado", dejándome sin la asistencia necesaria. Además, me di cuenta más tarde que no se siguió el protocolo adecuado ya que no me mostró la toxina botulínica antes de su aplicación ni la abrió delante de mí, prácticas que luego entendí son esenciales para asegurar la calidad y seguridad del tratamiento. Las jeringas se deben abrir delante de los pacientes, se les tiene que mostrar la marca, el modelo del producto y la fecha de caducidad. Vienen cerrados y se tienen que abrir y preparar delante del paciente. Es muy importante saber que los viales son de un único uso.
El segundo tratamiento, destinado a reducir las bolsas bajo los ojos, no solo no ofreció los resultados esperados, sino que el resultado fue tan decepcionante que preferiría no compartir imágenes. (cosa que puedo hacer en cualquer momento) Se me informó sobre la importancia de los masajes drenantes post-tratamiento que realizan ellos varios días después. Pero me informaron   despues de la realización del tratamiento y no antes sabiendo de antemano que no resido en Madrid, dejándome a mi suerte para buscar alternativas por mi cuenta.
En resumen, invertí más de mil euros en estos tratamientos, esperando mejorar mi apariencia y autoestima. Sin embargo, terminé experimentando resultados contraproducentes, gastando una cantidad significativa de dinero y tiempo, sin mencionar el impacto emocional de verme peor que antes. La actitud del profesional, que encontré prepotente y con poca empatia, solo añadió a mi frustración.
Espero que esta reseña sirva como una advertencia para quienes consideren acudir a esta clínica. La belleza y la salud son aspectos demasiado importantes como para dejarlos en manos de quienes no brindan el cuidado y la atención que merecemos.</t>
  </si>
  <si>
    <t>2024-02-16T20:04:43.579Z</t>
  </si>
  <si>
    <t>Aurora Sánchez</t>
  </si>
  <si>
    <t>Fui hace tiempo a ver al Dr Sopena, nos canceló la cita varias veces, la segunda vez con menos de media hora de antelación, al final nos atendió pero nos trató fatal, súper prepotente haciéndome sentir mal. Me he animado ahora a poner la reseña ya que me dejo marcada esta actitud, debería tratar mejor a sus pacientes, tener la humanidad de la que presume. Me fui sin hacerme ningún tratamiento, por supuesto no me pondría en manos de alguien que me habla de esa manera.</t>
  </si>
  <si>
    <t>2021-02-12T22:33:40.800Z</t>
  </si>
  <si>
    <t>Mamen T.</t>
  </si>
  <si>
    <t>TENGO LUPUS y el ácido hialuronico es INCOMPATIBLE. aún advirtiendo desde el inicio de mi problema decidió tratarme con ácido hialuronico para relleno de ojeras. Provocando que el lupus se activase ( menos mal que no ha sido así )el relleno de ojeras con ácido en un inicio se vio bien, aunque con poco tiempo ese ácido se escurre hacia abajo y este es el resultado. Les escribí un email advirtiendo del problema y me dijeron que me daba cita para solucionar, pero y que confianza voy a tener con este Doctor? Tengo 52 años y parezco que tengo 70</t>
  </si>
  <si>
    <t>2026-03-17T12:00:54.082Z</t>
  </si>
  <si>
    <t>Raquel Sierra</t>
  </si>
  <si>
    <t>En mi caso me atendió la Dra. Polimon,tratamiento de Melasma, después de medio año,tengo unos 480 euros menos (420 + cremas) pero las manchas siguen ahí,la reducción es mínima,de hecho me hicieron foto del antes pero ninguna del después. la doctora se justificaba diciendo q no se comprometía a que desaparecieran..en fin,una tomadura de pelo. La doctora muy maja pero no se me devolvió un duro de un tratamiento q no ha servido de nada,y por cierto el láser duro menos de 5min,cuando en otros sitios he leído q te lo tratan más tiempo con mejores resultados. No volveré,estoy segura de que en Madrid hay sitios un poco más serios.
—-
En respuesta a su comentario decir que con que me digan que no merece la pena hacerlo (es lo q espero de un profesional) será mucho mejor que gastarme un dinero y no sirva para nada.
Quizás pueda tomarlo como crítica constructiva en lugar de intentar justificar un tratamiento que no ha servido de nada,espero que un profesional con experiencia sepa diferenciar cuando merece y cuando no merece la pena
Saludos</t>
  </si>
  <si>
    <t>2024-04-10T11:32:22.288Z</t>
  </si>
  <si>
    <t>Elena Horcajada Castro</t>
  </si>
  <si>
    <t>Inculto emocionalmente, así describiría a JUAN SOPENA.
Me trató cuando realizó el cambio de la clínica entre la clínica Arapiles a la actual
Mala empatía, poca cercanía, poca proximidad. Pocas falcultades emocionales con el paciente. Soberbio
Me hizo llorar a la salida. Sus asistentes me dieron consuelo y me pidieron disculpas por el trato recibido por JUAN SOPENA , cosa que agradezco. Le disculparon por el stress del cambio de clínica.
No sabía que realizar preguntas , o pedir consulta en la clínica de Arapiles y que pasaran unos meses hasta poder realizar el tratamiento y realizarla en la nueva clínica,  fuera castigado con su incultura emocional
Desde mi  más absoluto respeto, me permito darle un consejo: Los pacientes no son euros que entran por la puerta. Son seres humanos que tienen sentimientos. TRÁTELOS CON RESPETO EMOCIONAL.
En vez de tantos títulos médicos, haga coaching , empatice
Una pena, ojalá esto le haga reflexionar</t>
  </si>
  <si>
    <t>2022-04-23T12:14:33.489Z</t>
  </si>
  <si>
    <t>Pedro Jimenez</t>
  </si>
  <si>
    <t>El peor. Muy prepotente y un soberbio.  A este doctor le inyectaría una buena dosis de humildad.  Debería saber escuchar a la paciente .    A mi no me hizo nada pero sí a mi mujer.   Menos mal que el Dr. Ricardo Ruiz,jefe de la Clínica Internacional Dermatológica de Madrid , gran profesional y mejor persona le arregló el desaguisado del Dr. Sopena.   Se que van a decir que no consta en sus pacientes pero me da igual.  Ahí lo dejo.</t>
  </si>
  <si>
    <t>2020-10-10T17:52:03.244Z</t>
  </si>
  <si>
    <t>Mario Esteban</t>
  </si>
  <si>
    <t>Cierras un cita y tras una hora de reloj en la sala de espera y cuarenta y cinco minutos pasados de la hora de mi cita me fui.
No se puede hacer esperar así a un cliente.
Ni una disculpa, ni un lo siento. Sólo un "espérese que es el siguiente cliente".
Falta de respeto total.</t>
  </si>
  <si>
    <t>2023-03-14T18:04:56.735Z</t>
  </si>
  <si>
    <t>ARF</t>
  </si>
  <si>
    <t>Buenos días
Mi experiencia no fue nada buena. Era la primera vez que acudía a hacerme algún tratamiento y por supuesto fue la última.
Pagué el botox para el tratamiento del tercio superior de la cara y el hialuronico para el tercio medio bien pagado y cuál fue mi desagradable sorpresa, que en los días posteriores al tratamiento me convertí en un auténtico monstruo. Las zonas donde me había puesto el hialuronico comenzaron a edematizarse(hincharse) y a ponerse calientes.
Me desfiguré. Daba miedo verme.
Llamé por teléfono explicando lo que ocurría y no vi ningún atisbo de preocupación ni de urgencia por atenderme. El Dr. se encontraba fuera de Madrid y no me podía ver hasta pasados varios días.
Tuve que acudir a otro profesional que me solucionó el tema poniendome hialuronidasa.
Puedo entender que tengas una complicación lo que es grave es que no te atiendan adecuadamente para solucionarla.
Además en la zona que peor estaba encima me quedó una mancha pigmentada.
Cuando por fin me atendió yo ya estaba más o menos recuperada del cuadro. Se limitó a decir que habría sido biofilm.
No he vuelto ni volveré nunca y por supuesto no se lo he recomendado a nadie.</t>
  </si>
  <si>
    <t>2017-05-19T07:30:11.501Z</t>
  </si>
  <si>
    <t>Sonia</t>
  </si>
  <si>
    <t>Bueno pues en este centro supuestamente profesional llamas para pedir cita y te piden que te hagas un autodiagnóstico sobre las manchas que tienes en la cara, les tienes que decir por teléfono de que son, si se trata de manchas de edad, de melasmas...porque dependiendo de eso te mandan a estética, cuya consulta es gratuita o dermatología que son 120€, si te equivocas en saber qué tipo de manchas son puede que vayas a una cita gratuita de estética y allí te den la sorpresa de que tienes que pagar 120€ porque resulta que tu caso al final es de dermatología.
Pues perfecto, muy lógico todo, haré la carrera de dermatología antes de pedir la cita para saber de qué tipo son mis manchas, aunque claro luego ya podré tratarme yo misma .
Alucinante!</t>
  </si>
  <si>
    <t>2021-11-15T10:03:56.942Z</t>
  </si>
  <si>
    <t>Marina Suarez Capdevila</t>
  </si>
  <si>
    <t>Pague bastante dinero por un tratamiento con ácido hialurónico, en teoría con uno de los mejores profesionales. En principio salí contenta con los resultados, pero al cabo de los días se fue todo igual que llego. Asi que estoy sin hialurónico y sin dinero! :(</t>
  </si>
  <si>
    <t>2019-06-17T20:46:57.785Z</t>
  </si>
  <si>
    <t>Raul Lucas</t>
  </si>
  <si>
    <t>muy mal el Dr Juan Sopena....le quito 3 lunares a mi madre y le ha hecho 3 crateres de cuidado.... y sin seguimiento .....ya infectada la cura ....</t>
  </si>
  <si>
    <t>2023-09-23T07:54:16.181Z</t>
  </si>
  <si>
    <t>Carmen Mora</t>
  </si>
  <si>
    <t>Magnifico!!!! Totalmente recomendable !!!! Súper profesional Juan Sopena.es magnifico. El problema son las citas , ahora te dan cita con un mes imposble gestionar llevo dos meses intentandolo, la fama lo estropea todo y no se cuisa la atencion al cliente, la prepotencia de la gestion en los ayudantes del doctor me impresiona!!!! Una pena , estoy segura se daran cuenta, el es muy bueno.</t>
  </si>
  <si>
    <t>2019-02-26T19:26:48.391Z</t>
  </si>
  <si>
    <t>Alicia Malo</t>
  </si>
  <si>
    <t>2016-04-13T15:31:13.277Z</t>
  </si>
  <si>
    <t>Consulta Dermatológica Miguel Redondo</t>
  </si>
  <si>
    <t>C. Miguel Redondo, 8, 21003 Huelva, Spain</t>
  </si>
  <si>
    <t>+34 622 45 80 42</t>
  </si>
  <si>
    <t>Retrocd kamisetas</t>
  </si>
  <si>
    <t>Fui para que me viera unas manchitas en la piel, me mando un tratamiento y aquello empeoró bastante, llegando a salirme pequeñas heridas, llamé para que me volviera a ver, pero en vez de eso o hablar conmigo, una de las mujeres que está atendiendo el teléfono me cambió el tratamiento (supongo que siguiendo instrucciones del doctor), cuando acabé el nuevo tratamiento no había mejorado nada, así que volví a llamar y comentar la situación, pedí que me viera el doctor o al menos que hablase conmigo, pero nada, la telefonista volvió a darme otras instrucciones sobre el tratamiento, (que he seguido al pie de la letra) y no ha tenido efecto alguno. Ya he desistido y como se trata de mi salud he decidido acudir a otro medico privado, que me ha cobrado más barato, me ha realizado todo tipo de pruebas y me ha citado 3 días más sin coste alguno.</t>
  </si>
  <si>
    <t>2018-06-08T16:42:35.826Z</t>
  </si>
  <si>
    <t>Rocio Quinterovaldivia</t>
  </si>
  <si>
    <t>Mi experiencia a sido mala fui con mi hija por un problema en la piel de la cara  donde la dermatóloga la vio 5minutos y  se fue sin ningún diagnóstico tal como entre salí sin ningún diagnóstico  al final e hido a la dermatóloga Pilar cordero y ella nada más la vio le dijo lo que tenía y va estupendamente me sentí engañada .si fue diagnosticada mal con un tratamiento para acné y mi hija tiene rosácea todo lo que le mandasteis era para secar y tratar acné que mi hija se labo con el gel y se terminó de achicharra la cara y la tuve que yevar al médico de cabecera donde le recetó corticoides ustedes no me solucionasteis el problema me lo empeorasteis como pretendiaais que la yevare a revisión imposible gastar más dinero en un diagnóstico no hacertado.</t>
  </si>
  <si>
    <t>2023-09-08T12:31:45.196Z</t>
  </si>
  <si>
    <t>Vanessa Gutierrez</t>
  </si>
  <si>
    <t>No lo recomiendo para nada ,sali super descontenta , demore más en esperar q me miraran si tenéis alguna duda sobre la piel más fácil la buscáis x Internet y seguro q dais mejor que allí,  no lo recomiendo y más x lo que cobran 100 regalados</t>
  </si>
  <si>
    <t>2021-09-22T11:35:01.947Z</t>
  </si>
  <si>
    <t>Felix Guerra</t>
  </si>
  <si>
    <t>Pues no sé si son buenos o malos. Lo que sí sé es que tenía cita a las 16.30 y a las 17.00 me fui aburrido.</t>
  </si>
  <si>
    <t>2021-05-27T19:19:47.946Z</t>
  </si>
  <si>
    <t>Marina Garrido</t>
  </si>
  <si>
    <t>Malisimo trato</t>
  </si>
  <si>
    <t>2022-07-11T16:50:55.775Z</t>
  </si>
  <si>
    <t>Monica Fernandez Rodriguez</t>
  </si>
  <si>
    <t>2026-07-23T18:17:50.035Z</t>
  </si>
  <si>
    <t>Cristina Martinez</t>
  </si>
  <si>
    <t>2022-07-11T17:27:48.271Z</t>
  </si>
  <si>
    <t>Rocio Márquez López</t>
  </si>
  <si>
    <t>Que miedo, gracias a Dios que con las nuevas tecnologías podemos buscar información de opiniones sobre sus experiencias.</t>
  </si>
  <si>
    <t>2023-02-05T18:05:32.468Z</t>
  </si>
  <si>
    <t>Raquel Muñiz</t>
  </si>
  <si>
    <t>Me ha resultado carísimo.  Sólo mirarme 5 minutos y sin hacerme  nada.</t>
  </si>
  <si>
    <t>2018-05-31T17:37:01.997Z</t>
  </si>
  <si>
    <t>Quirónsalud Infanta Luisa Hospital</t>
  </si>
  <si>
    <t>C. San Jacinto, 87, 41010 Sevilla, Spain</t>
  </si>
  <si>
    <t>+34 954 33 01 00</t>
  </si>
  <si>
    <t>DPO@quironsalud.es</t>
  </si>
  <si>
    <t>Franco Della Torre</t>
  </si>
  <si>
    <t>I came here with very severe stomach pains. They charge 500 Euros as a deposit - 320  euros goes toward the consultation with a doctor.
I'll summarize here by stating don't be deceived by the decent reviews this is the worst health care institution I have encountered outside the USA. Moreover, it charges more than what healthcare in the US costs.
After speaking the doctor for 5 mins. Dcotor tells me that they could not attend to severe stomach pains and that I should go to see a primary care doctor.
Ofcourse, I complained about this and doing any further testing that was not going to help my issue but the hospital said too bad you spoke to the doctor and its 320 euros. I figured I had no choice but to proceed so I waited there from 2 pm to 8 pm: 6 hours!!!
I was charged 770 euros for 5 min conversation and blood test.</t>
  </si>
  <si>
    <t>2025-08-02T13:13:59.833Z</t>
  </si>
  <si>
    <t>Anahita</t>
  </si>
  <si>
    <t>I was visiting from Canada when I suddenly developed severe sciatica pain in Seville and had to visit the emergency room. While the staff were friendly, the overall care left much to be desired. Before receiving any treatment, I was asked to provide a €500 deposit. The doctor didn’t conduct a thorough examination—just asked about my pain and then instructed the nurse to give me an injection. Shockingly, the nurse administered the injection while I was standing, without even asking me to lie down on a bed!!! Obviously it was very uncomfortable and painful! Afterward, the doctor prescribed some medications, but neither the injection nor the meds provided any relief. They refunded €200, but the entire experience was extremely disappointing. I endured extreme pain for several days, but when I finally went to a hospital in Portugal, they provided proper care, and thankfully, the pain started to ease. I wish I had gone to a public hospital in Seville at least did not get charged so much for nothing!
Update: As I was requested by the hospital I sent them and email regarding my case. However, I never hear from the hospital. Another disappointment by this hospital!</t>
  </si>
  <si>
    <t>2024-10-01T18:10:34.388Z</t>
  </si>
  <si>
    <t>Nahuel Nucera</t>
  </si>
  <si>
    <t>The worst place in the world to take PCR, they don't deliver results in time and nobody answers the phone.</t>
  </si>
  <si>
    <t>2021-04-10T08:14:29.613Z</t>
  </si>
  <si>
    <t>Furkan İnce</t>
  </si>
  <si>
    <t>The slowest ever.</t>
  </si>
  <si>
    <t>2024-01-28T00:47:07.125Z</t>
  </si>
  <si>
    <t>LUZ ETERNA</t>
  </si>
  <si>
    <t>Hoy 14-5-2026  habitación 127,mi madre de 80 años acabada de salir de quirófano con el brazo negro porque le han pinchado mal la vía y tras llamar a la enfermera , que tarda 25 minutos en acudir porque no le está entrando el calmante porque la vía está doblada le pone un trozo de esparadrapo que no soluciona nada.
Segunda vez que llama a la enfermera y llevamos media hora y aún no ha aparecido.
La cisterna del WC no funcionaba y túbe que destapar la cisterna y manipular un poco para que volviera a coger agua.
La ducha no tiene asas ni antideslizante en el suelo y una cortina de plástico que se pega al cuerpo y hace que el agua al ducharse salga por todo el baño hasta el pasillo de la habitación por lo que es un peligro a la hora de ducharse y salir
Haber si toman nota tras la hoja de reclamaciones que vamos a poner.
La sanidad privada es tercermundista en este hospital.
He vivido en África y hay mejores hospitales en aldeas de Namibia.
De vergüenza ajena En este hospital de pago....</t>
  </si>
  <si>
    <t>2026-05-17T12:04:24.405Z</t>
  </si>
  <si>
    <t>Desirée Escobero</t>
  </si>
  <si>
    <t>Ni se os ocurra dejar que el centro gestione vuestra solicitud de ingreso para cirugía. En mi caso, la ineptitud por parte de la señora que se encargaba de gestionar nuestra solicitud ha sido más que evidente. Estando en la sala de espera de admisión para que me dieran cama el mismo día de la cirugía, me llama al móvil y nos comunica que aún no tiene la autorización, que me busque yo la vida.... EL MISMO DIA DEL INGRESO PROGRAMADO PARA LAS 9 DE LA MAÑANA. Y no solo eso, sino que nos dejan tirados en el Hall, con dolor de cólico nefrítico hasta que se solucione.....  Tras volver a coger un tercer turno de admisión, consigo que me atiendan, a las 11 de la mañana ( desde las 8.15) y Gracias a Pepi, amabilísima, al menos nos ponen una cama en urgencias para que el dolor se sobrelleve mejor. No sé cómo acabará ésto, porque la cirugía está prograda a las 13.30h, son las 12h.... Y aún seguimos en la cama de urgencias. Lo saben  desde hace una semana!!!!! Que fácil hubiera sido que me hubieran informado y lo hubiéra gestionado yo con tiempo... No, el mismo día de la cirugía..... La contestación de la señora que se ha encargado de gestionar nuestra solicitud fue: "Vaya.... Si aviso al paciente,  por qué lo aviso, y si no lo aviso, también se queja como usted...."
Cero empatía.</t>
  </si>
  <si>
    <t>2026-05-19T10:11:37.090Z</t>
  </si>
  <si>
    <t>rafa MUÑOZ</t>
  </si>
  <si>
    <t>Acudimos a urgencias de oftalmológica a las 9.25 de la mañana, el médico de urgencias nos dice que hasta las 13 h no viene el oftalmoñogo, después de esperar hasta la 13.15 vamos al mostrador y nos dicen que el oftalmologo se ha ido porque no nos ha encontardo(mentira), se le pone una hoja de reclamaciones, me dicen que nos llamarán para acudir  por la tarde que tiene que venir,a las 20h nos llaman y nos dicen que acudamos el lunes a urgencias.
Mi.mujer sigue con un dolor tremendo en el ojo, non os han hablado claro para poder acudir a otro hospital y nos han tenido todo el dia enredados porque un señor no ha querido hacer su trabajo, que se supone le pagan por ello.
Lo único que les duele es las hojas de reclamaciones y las quejas,
Esto no es una buena atención. A pacientes señores del infanta luisa.
Espero que no le pase nada a mi mujer y se le complique la cosa, porque sería responsabilidad suya
Espero que pongan medios para que no pase más.</t>
  </si>
  <si>
    <t>2026-06-28T18:59:15.732Z</t>
  </si>
  <si>
    <t>Rut Del cielo</t>
  </si>
  <si>
    <t>Terrible atención. Estuve 4 horas en urgencias para nada. Me dicen que espere en un sitio que me llamarán por la pantalla para el resultado de los análisis (pista: las pantallas no estaban funcionando bien y no aparecen las nuevas llamadas). 2 horas después me acerco a preguntar por los resultados y un médico me recrimina que llevan ya listos 1 hora y media, que mi médico me ha estado esperándome una hora y que ya se había ido. No me explica nada de la analítica, se limita a decirme después de tener un golpe de calor y una infección “deja la dieta que estes haciendo, tienes el sodio bajo”, cuando yo no estoy haciendo ninguna dieta. Y cuando se lo digo me repite “si pues tienes que dejar la dieta” sin mirarme siquiera. Trato pésimo. Entregué la muestra de orina para comprobar el nivel de deshidratación y demás, y en la analítica : “muestra no recibida”. 4 horas para este trato tan terrible estando enferma con fiebre.</t>
  </si>
  <si>
    <t>2026-04-28T13:04:51.902Z</t>
  </si>
  <si>
    <t>Monica Trejo</t>
  </si>
  <si>
    <t>Me operé y estuve una noche ingresada y menos mal !! Porque la comida lo peor que he visto nunca ,imagino que nisiquiera en un comedor social pondrían eso , recién operada y me dieron cosas fritas precocinada y me hizo mal al estómago luego desayuno solo pan aceite y leche ,no pidas mantequilla porque te dicen que no tienen , confórmate con eso y merienda un paquete de 4 galletas María y confórmate con eso fatal muy mala experiencia cn la comida no me gustaría tener que estar ingresada más de 24 h q es lo q yo estuve en este hospital …</t>
  </si>
  <si>
    <t>2026-06-29T20:12:38.231Z</t>
  </si>
  <si>
    <t>Francisco Garrido</t>
  </si>
  <si>
    <t>Lamentable y penoso el trato de todo el personal de este “ supuesto hospital “, especialmente de Pepa( atención al paciente ) nos ha engañado y estafado. En el momento que mi padre ya no era un negocio para este hospital nos han intentado echar como un perro, pidiendo que firmáramos un alta voluntaria y nos dirigiéramos al hospital público por urgencia.
Después de negarnos en rotundo , debido al estado de mi padre ( derrame cerebral) nos dicen que se podrán en contacto con virgen del rocio para un traslado coordinado , todo mentira. Se ha presentado a la hora una ambulancia, sin enfermero, sin médico, sin nada.
No habían coordinado nada, ni hablado con virgen del rocío , ni cama organizada, ni ambulancia medicalizada.
Nos han soltado en urgencias sin más.
NO VAYAN A ESTE HOSPITAL.
INHUMANOS
ESTAFADORES</t>
  </si>
  <si>
    <t>2026-03-19T21:50:17.898Z</t>
  </si>
  <si>
    <t>Andreia SÌLLVA</t>
  </si>
  <si>
    <t>Estoy sumamente insatisfecha con el servicio del Hospital Quirónsalud Infanta Luisa de Sevilla. Pago un seguro de salud precisamente para recibir una atención más personalizada y eficiente, sin largas esperas. Sin embargo, cada vez que necesito usar el servicio, tengo que esperar entre dos y tres horas, o incluso más, para ser atendida.
No lo recomiendo, ya que la calidad de la atención está muy por debajo de lo esperado. Si tengo que esperar una, dos o tres horas, prefiero usar el sistema público de salud.
Estoy muy insatisfecha y ya estoy considerando cancelar los servicios de Quirónsalud y optar por otras compañías que ofrezcan un servicio más eficiente y acorde con lo prometido.</t>
  </si>
  <si>
    <t>2026-04-18T10:23:13.903Z</t>
  </si>
  <si>
    <t>Y MV</t>
  </si>
  <si>
    <t>Una estrella me parece  excesiva  puntuación para el área de cardiología y especialmente,para  uno de sus integrantes, cuya profesionalidad y trato dejan mucho que desear.
Tras acudir durante un año a urgencias y a cardiología , con electro anómalos que iban empeorando conforme pasaban los meses, unido a una sintomatología que se agudizada y a una limitación cada vez mayor para  desempeñar las  actividades más básicas de la vida diaria (como puede ser caminar del sofá a la cocina),mi familiar ha acabado siendo recogido en la calle por un desvanecimiento y 48 horas después, con un marcapasos " de regalo".
Pero eso sí, según este cardiólogo " eminente y experto", que no se ha dignado a hacer NINGUNA prueba,  todo era de la tensión arterial .
Ahora, el "consejo" que nos dan es " dar gracias" porque todo ha salido bien.
La sanidad privada es de vergüenza en todos los sentidos. No hay jabón ni para lavarse las manos, te piden que traigas tu propia medicación de casa y encima te la quieren administrar ellos y mil cosas más que si menciono, me quedo sin hueco.
Lamentable como ha decaído todo.
Por suerte, quedan pocos profesionales con corazón y con empatía. Profesionales explotados y mal pagados mientras otros se ceban a consta del trabajo de unos y la salud de otros.
Suerte para los sanitarios buenos que quedan y suerte también , para los enfermos que caigan en las manos de este "doctor" .</t>
  </si>
  <si>
    <t>2025-11-26T20:28:16.477Z</t>
  </si>
  <si>
    <t>Mayte Toscano</t>
  </si>
  <si>
    <t>De todas las inteligencias artificiales este hospital ha seleccionado la menos inteligente para sustituir el servicio de atención al cliente. Tras varias semanas de intentos en contactar con ellos he tenido que acudir presencial para saber qué la máquina de mamografía está estropeada tras meses sin noticias. Lo más sorprendente es que en recepción me han confirmado que ellos saben que no se puede contactar con ellos, la solución que te dan es que no tienen solución y que van a esperar que la IA aprendan...Tras poner una reclamación porque no creo que un hospital pueda estar sin dar servicio de atención al cliente, no creo que lo solucionen ya que les es rentable no poder dar citas por teléfono así que seguirán incomunicados y tan tranquilos...</t>
  </si>
  <si>
    <t>2026-03-05T16:01:19.989Z</t>
  </si>
  <si>
    <t>María María</t>
  </si>
  <si>
    <t>Un verdadero desastre. Cada vez funcionan peor, sin embargo cada vez es más caro para el cliente. Y digo cliente porque si en algún momento desde Quiron Salud se preocuparan por sus pacientes y no solo por hacer caja no tendría que soportar como acumulan fallos que dan lugar a largas colas cada vez que vamos. Una pena que encima se destine dinero público a estos chiringuitos .</t>
  </si>
  <si>
    <t>2026-03-05T11:22:39.190Z</t>
  </si>
  <si>
    <t>Sandra Vera</t>
  </si>
  <si>
    <t>Me opero el Doctor Abraham Garcia Mendoza. He quedado peor que antes y tebgo que andar detras de ellos para que me den las citas de seguimiento.  El Doctor Abrahan lo unico que dice es que no sabe porque estoy peor. La ultima consulta que tube con el tube que pagar 105€ porque ellos no me daban cita (deribada de la Seguridad Social)
Ahora se va a cumplir 1 año y no saben porque no estoy bien y basicamente me han dicho que me busque la vida.
Que yo sepa fuimos 4 operados con el Doctor Abraham de los cuales 3 estamos mal y 2 de ellas estan que todavia no pueden ni andar después de 1 año. Vergonzoso, no se dan cuenta que estan jugando con la vida de personas. 32 años y no puedo trabajar en nada porque no puedo ni estar de pie ni sentada. Con doloeres todo el dia. Pesimo.</t>
  </si>
  <si>
    <t>2026-02-26T15:16:23.893Z</t>
  </si>
  <si>
    <t>SIN DATOS No quiero mostrar información</t>
  </si>
  <si>
    <t>Los médicos por la noche que se dedican a dormir o a trabajar ? No es la primera vez que tengo que acudir al servicio de urgencias a las seis o siete de la mañana . Y sin tener paciente tardan lo más grande en aparecer . Poca formalidad veo yo para ser un servicio que como la palabra indica es URGENCIA = A URGENTE</t>
  </si>
  <si>
    <t>2026-06-14T05:13:27.881Z</t>
  </si>
  <si>
    <t>Nuria nogues</t>
  </si>
  <si>
    <t>Buenas noches,
En primer lugar añadir que el Doctor Gabriel José Tinoco Yepes atendió a mi madre el día 5 de Febrero sobre las 22h de urgencias debido a una caída por las Escaleras en el Teatro Cartuja Center y después de explicaroe mi madre, en el informe, él puso que se había caído en su domicilio.
Mi madre se fracturó el hombro y evidentemente necesitaba un traumatólogo de urgencias, el cual, no estaba en el Hospital. El doctor Tinoco es Médico de familia se comunicaba con el especialista x teléfono, una vergüenza...
Yo soy Sanitaria, trabajo en el público y hay especialistas de urgencias 24h, así debería ser en todos los Hospitales.
Mi indignación es también que estamos intentando contactar con el Doctor Tinoco y no damos con él para cambiar el informe y poder denunciar al Teatro.
Por internet no aparece por ningún sitio, ni en el cuadro médico del Hospital Infanta Luisa, ni nada... Inexplicable e incompresible.
Vergonzoso y sospechoso.</t>
  </si>
  <si>
    <t>2026-02-11T21:56:43.949Z</t>
  </si>
  <si>
    <t>María José Pascua Pascual</t>
  </si>
  <si>
    <t>Volvemos otra vez a los asistentes virtuales. Tenía una cita el día 3 de marzo en el centro médico de Nervión y ahora me llama una tal Lola (que me dice que está encantada, una máquina está encantada?) Y me cambia la cita dos días después en el Hospital Infanta Luisa. Díganme ustedes si me tengo que fastidiar más todavía con esto ya es bastante</t>
  </si>
  <si>
    <t>2026-02-19T18:05:46.377Z</t>
  </si>
  <si>
    <t>Amparo De Pablo</t>
  </si>
  <si>
    <t>Pésimo por asistir por privado.
Atención telefónica erronea, incidencias en la aplicación de Atención al usuario que ni miran.
Te dicen que van a atender tu petición de activación de recetas, y llevo 6 días y estoy esperando, de forma presencial, porque no me torean más.
Una vez y ya no voy más.</t>
  </si>
  <si>
    <t>2026-03-17T11:02:29.982Z</t>
  </si>
  <si>
    <t>Sebastian alejandro De La Cruz</t>
  </si>
  <si>
    <t>Llego a urgencias con un dolor impresionante  a las 4:40 de la madrugada , no hay ninguna paciente  esperando en la sala de espera ni dentro en consulta ,  y no me atienden hasta las 6:10 . Y me piden disculpas alegándome que solo hay un médico en todo el hospital para planta incluyendo urgencias . Esto es inadmisible en un hospital privado .</t>
  </si>
  <si>
    <t>2026-03-02T05:21:31.554Z</t>
  </si>
  <si>
    <t>Centro Médico Europa</t>
  </si>
  <si>
    <t>Carrer del Mestre Ramón Ramia Querol, 57, 46980 Paterna, Valencia, Spain</t>
  </si>
  <si>
    <t>+34 963 11 40 80</t>
  </si>
  <si>
    <t>info@centromedicoeuropa.com</t>
  </si>
  <si>
    <t>Sue Cloran</t>
  </si>
  <si>
    <t>Wonderful reception staff, but, avoid the podiatrists. Terrible experiences with poor diagnostics and treatment from both doctors on 2 separate visits. Painful treatment and incorrect care that led to more issues. Went next door and had a much better, more hygienic experience.</t>
  </si>
  <si>
    <t>2022-09-16T20:22:50.167Z</t>
  </si>
  <si>
    <t>M.Carmen farinós</t>
  </si>
  <si>
    <t>No recomiendo este centro. He tenido que vivir dos veces la misma situación: una receta incorrecta que me ha generado problemas en la farmacia. Lo que más me ha sorprendido es la respuesta que he recibido al reclamar: que debería ir a una farmacia específica porque allí "no me pondrían problemas". Es decir, la solución no es hacer bien las recetas, sino buscar quien no revise los errores.
Después de esto, he buscado otra clínica en la zona. No diré cuál, pero el contraste es total: recetas en formato electrónico, correctas desde el primer momento, sin necesidad de volver dos veces a pedir lo que ya te deberían haber dado bien.
El Centro Médico Europa necesita una actualización urgente, no solo tecnológica sino también en cuanto a criterio profesional y responsabilidad. Trabajar como se hacía a mediados del siglo XX no es un encanto vintage, es un problema para el paciente.</t>
  </si>
  <si>
    <t>2026-06-16T21:03:49.946Z</t>
  </si>
  <si>
    <t>Ana Peñaranda palomares</t>
  </si>
  <si>
    <t>Esta mañana he estado en este centro por un tema de dermatología. Me ha atendido en 2 minutos,  me ha mandado a un cirujano al hospital IMED para que me quiten un diminuto quiste. Pérdida de tiempo, no volveré a este centro.</t>
  </si>
  <si>
    <t>2026-03-24T22:12:50.512Z</t>
  </si>
  <si>
    <t>N Blanco</t>
  </si>
  <si>
    <t>El servicio de fisioterapia una vergüenza. Instalaciones que parecen de hace 20 años, no tienen el equipamiento necesario. Atienden a "2 pacientes al mismo tiempo", dicho por el propio "profesional"...La sesión dura 30min y apenas te tocan. La verdad fue una pérdida de tiempo. No lo recomiendo de ninguna manera.</t>
  </si>
  <si>
    <t>2026-02-28T21:14:11.638Z</t>
  </si>
  <si>
    <t>Cristi Fallereta</t>
  </si>
  <si>
    <t>El servicio de dermatología, en especial la doctora Alicia Peris, deja mucho que desear…
Te atiende sin ganas, casi sin escucharte, sin mirar bien la lesión de la piel, sin querer ver informes y pruebas, cuando le hablas te corta todo el rato…, acudí un día, volví a coger cita para una 2ª porque con la primera el tratamiento que me dio no fue el adecuado, otro tratamiento y nada de nada, normal dado que casi que no mira lo que tienes ni te escucha…
Fatal atención y servicio por su parte.</t>
  </si>
  <si>
    <t>2026-03-25T17:57:35.976Z</t>
  </si>
  <si>
    <t>Vanesa Vilches</t>
  </si>
  <si>
    <t>Me parece vergonzoso que lleve esperando 1 semana respuesta a un email porque no cogen el teléfono.  Nada. Ya te puedes morir de un dolor que no responden.</t>
  </si>
  <si>
    <t>2025-11-03T10:35:04.492Z</t>
  </si>
  <si>
    <t>Manuel Santos Asensio</t>
  </si>
  <si>
    <t>Es lo peor nunca cogen el teléfono ni responden a los mails para coger cita ...es imposible contactar se ve que van sobrados no me extraña que tengan tan baja valoración aún merece menos</t>
  </si>
  <si>
    <t>2026-02-05T16:19:59.818Z</t>
  </si>
  <si>
    <t>Carolina Guerrero</t>
  </si>
  <si>
    <t>Que mala atencion por parte del personal, no preste atencion a los comentarios y tienen razon super malo el trato y mas por una profesional como la ginecologa. En definitiva no vayan alli. Y eso que pago un seguro privado, Que se paga por el servicio y que te atiendan mejor, Pesimo.</t>
  </si>
  <si>
    <t>2025-12-23T20:18:34.217Z</t>
  </si>
  <si>
    <t>Mar HM</t>
  </si>
  <si>
    <t>Un desastre. Aparte de que es imposible contactar con ellos por teléfono, cogí cita en persona para un inyectable semanal pues tengo una ciática en la pierna muy dolorosa. El primer inyectable, parecían no acordarse de la cita, pero al final la enfermera me lo puso. Cogí cita para el segundo a la semana siguiente. No vivo en Paterna y nos costó mucho aparcar. Llego y no sabían nada de mi cita. La enfermera ya se había ido. Mi cita estaba al final del cuadrante, pero no la vieron. Bastaba con desplazar la pantalla del ordenador. No es la primera vez que voy y a veces parece que están de risas y tertulia. Me propusieron al día siguiente por la mañana pero yo trabajo. O el martes de la semana siguiente (qué sentido tiene si es semanal??!). Si hubiera sido algo ocasional, no pasa nada, le puede pasar a cualquiera pero no es normal lo que ocurre ahí (no cogen el teléfono, no se acuerdan de las citas..,,). Me fui al Imed desde ahí y claro, enfermería tiene sus horas allí y tampoco me la pude poner por llegar fuera de hora. Me tocará ir mañana al Imed, pero al menos son más serios. Nunca más.</t>
  </si>
  <si>
    <t>2025-09-18T18:30:03.144Z</t>
  </si>
  <si>
    <t>Franc Fer</t>
  </si>
  <si>
    <t>En distintas ocasiones he intentado que me atendieran por teléfono y es imposible. Según parece es que la recepcionista tiene mucha faena y no puede cogerlo. Deberían poner a otra persona para que los clientes estuvieran mejor atendidos.</t>
  </si>
  <si>
    <t>2025-12-30T13:29:01.903Z</t>
  </si>
  <si>
    <t>Beatriz</t>
  </si>
  <si>
    <t>Una vergüenza de servicio,fui a dermatología para eliminar varias lesiones que estaban creciendo bastante rápido y durante la consulta la señora dermatóloga mostró poco interés ya que salí de allí sin enseñarle ni poder explicarle todo lo que quería, además de decirme que sólo podía quitarme una lesión si quería quitarme más tenía que ir más veces. Profesionalidad 0 y servicio pésimo,le pongo estrella por no dejarme publicar sin poner pero evidentemente ni se la merecen</t>
  </si>
  <si>
    <t>2025-10-17T09:23:26.742Z</t>
  </si>
  <si>
    <t>Kêmily Barros</t>
  </si>
  <si>
    <t>La peor experiencia de mi vida, en serio.
Fui al ginecólogo y, para la cita de seguimiento, ellos mismos agendaron una fecha. Pero cuando llegué, me dijeron que no había nada marcado y que la doctora no estaba. Hice un viaje largo para nada.
Además, la consulta de seguimiento fue por teléfono. Habló súper rápido y no me envió ninguno de mis resultados, aunque se los pedí dos veces.
En fin, si buscas una atención más humana, cuidadosa y respetuosa, no lo recomiendo.</t>
  </si>
  <si>
    <t>2025-05-25T12:27:42.437Z</t>
  </si>
  <si>
    <t>José Luis</t>
  </si>
  <si>
    <t>Que quiero modificar la la cita estoy llamando al teléfono eh que aparece en su página web y no contestan por favor decirme qué teléfono es gracias</t>
  </si>
  <si>
    <t>2026-04-15T08:26:05.718Z</t>
  </si>
  <si>
    <t>angela ceron</t>
  </si>
  <si>
    <t>Me gustaría dejar esta reseña no como crítica para el centro (que también) sino para que a otras personas no les pase, llevo 1 año viviendo en paterna y he tenido varias visitas a este centro por si cercanía, los retrasos que tienen en la citas son extremos, casi siempre superando la hora de espera, he pasado varios meses sin tener que acudir y ahora he vuelto a pedir cita, para empezar me la cancelaron 1 hora antes, cuando ya he aplazado mis clases y acomodado mi día en función de esta cita, lo cual me parece una falta de respeto, ya que para como paciente cancelar una cita debes hacerlo con 24 horas de antelación y sino se te cobraba la cita igualmente, pero ellos si pueden cancelar olímpicamente, me la asignan para hoy 09/04/2025 a las 18:00, llegó con 5 minutos de antelación, (norma de respeto no escrita) y me dicen que tiene "un poquito de retraso" digo vale gracias, paso a esperar, eran las 19:20 Cuando otra paciente nos dice que lleva 2 horas esperando, no es muy difícil teniendo en cuenta que yo llevaba más de 1 hora y cuando llegué ella ya estaba ahí, otra paciente tenía cita a las 18:00 igual que yo. Llevaba varios días sopesando el hecho de que asisto a este centro por vagancia y no salir del pueblo y decidí cambiar llamé al IMED, pedí cita y me fui de este lugar, en el que paciente es sometido a esperas incalculables, mis horas también valen dinero pero a mí ellos no me avisan con 24  horas de antelación, ni yo les puedo cobrar recargo por retraso. De corazón, si has llegado hasta aquí, no pierdas el tiempo, hay mejores lugares.</t>
  </si>
  <si>
    <t>2025-04-09T18:12:29.534Z</t>
  </si>
  <si>
    <t>Florencia Oppenheimer</t>
  </si>
  <si>
    <t>Son una vergüenza, totalmente impresentables y al límite de lo inmoral. Con dos semanas de anticipación intenté comunicarme con ellos porque mi papá, que venía del exterior, necesitaba aplicarse una inyección semanal. Fue imposible contactarlos por teléfono. Envié un mail detallando todo y su respuesta fue vaga, sin confirmar la cita. Volví a escribir y jamás obtuve respuesta.
Una semana antes, después de llamar sin descanso, finalmente logré que atendieran. La mujer que me respondió me despachó de inmediato, pero aun así le expliqué nuevamente la situación de mi papá. Me dio un turno de manera casi automática y me cortó el teléfono.
Llega el día de la cita y resulta que no pueden aplicarle la inyección porque ellos no tienen agua. ¿En serio? ¿En qué clase de clínica no tienen agua? ¿No podían avisarlo antes, ya sea en el mail o cuando llamé por teléfono? Me aseguré de dar todos los detalles necesarios, pero ellos, en su absoluta falta de profesionalismo, omitieron ese “pequeño” dato.
Gracias a su incompetencia, mi papá se quedó sin ponerse la inyección. Una verdadera vergüenza.</t>
  </si>
  <si>
    <t>2025-03-13T18:08:40.594Z</t>
  </si>
  <si>
    <t>Rodrigo Larios</t>
  </si>
  <si>
    <t>Fui al centro por sanitas, para tratarme con la dermatologa. El problema viene cuando me voy de la consulta con el papel donde ella me dice que pasara a la farmacia a recoger el medicamento. Ese papel no era oficial y me ha tocado pedir una receta via correo ya que no me la habian proporcionado. Como puede ser que un centro privado tenga estos problemas. No lo puedo entender. Llevo 2 dias para comprar la medicacion y no he podido porque el papel que me mandaron por correo no es oficial tampoco.</t>
  </si>
  <si>
    <t>2025-05-28T10:46:05.975Z</t>
  </si>
  <si>
    <t>Karla Dual</t>
  </si>
  <si>
    <t>Lamentable atención la del servicio de ginecología. Vas embarazada y sales juzgada por todo lo que haces y no haces. El embarazo lo sigo por la seguridad social y el hospital La Fe y todos los profesionales hasta el momento me han dicho que está todo perfecto, y esta señora a la cual acudo únicamente para ver al bebé entre eco y eco, te dice todo lo contrario, incluso se atreve a decir que me la estoy jugando a tener un parto de urgencia… cero tacto, cero conocimiento del paciente, metiendose donde no le llaman y juzgando a una persona que no conoce con cero tacto siendo que está tratando con una mujer embarazada.  He salido tan en shock que no he sabido reaccionar y ponerle una reclamación pero es lo mínimo que se merece esta señora.</t>
  </si>
  <si>
    <t>2025-03-04T19:08:35.745Z</t>
  </si>
  <si>
    <t>Travesures moncada</t>
  </si>
  <si>
    <t>Definitivamente deberíais de cambiar a la mujer que atiende el teléfono, le pregunte unas dudas de la web y no tenia ni idea, en la siguiente llamada me dijo que había preguntado mi consulta a la gerente y dicha consulta no tenia nada que ver con lo que le había preguntado yo, le dije si podía ir yo para hablar con la gerente y ella pensó que quería hablar con un médico…. Sin comentarios, era como si le estuviera hablando en chino a la pobre, desde luego buscaré otra clínica porque no tiene buena pinta la verdad.</t>
  </si>
  <si>
    <t>2025-02-13T18:55:19.402Z</t>
  </si>
  <si>
    <t>La Juani</t>
  </si>
  <si>
    <t>La verdad que con los profesionales de fisioterapia muy bien, he de decir que si vas desde tu médico privado las citas son de media hora y sesiones compartidas, nadie te avisa de eso, pero no es problema. El problema ha venido con la chica de recepción Merche, que tiene una exquisitez manía de querer pasar la tarjeta sanitaria siempre ANTES de cada consulta, cuando realmente si llego justo a la hora del fisio no pasa nada si la pasas a la media hora cuando salga. Lo que yo no tengo que soportar como cliente es que me ponga malas caras cuando le toca pasar la tarjeta DESPUÉS. Dios mío! Toda mi vida con seguro privado incluso en el dentista y NO PASA NADA! a parte de aguantar su mala cara MUCHO MENOS tengo que aguantar que una vez pasada la tarjeta, le diga que me de 3 citas que me quedaban y se ponga a comerse una tarta en mi cara!! Y me deje ahí como un pasmarote esperando a que la señora, que llevaba todo el día con una ensalada en el estómago (cosa que a los clientes no nos importa ni interesa) se coma la tarta y ENCIMA se beba un café después, el caso que tuve que pedirle a su compañera muy amable que me atendiese, porque de verdad esta mujer para una función que tiene y parece que no le apetece trabajar. Gente así cara al público es la que debería estar en su casa.</t>
  </si>
  <si>
    <t>2024-10-16T07:58:18.031Z</t>
  </si>
  <si>
    <t>Marta Pecero Morales</t>
  </si>
  <si>
    <t>Espero que no me borréis de nuevo la reseña.
Fui al Centro Médico Europa para tratar una mancha en la piel casi inapreciable y tuve una experiencia pésima con la dermatóloga A.Peris. En cuestión de segundos, me aplicó nitrógeno líquido en la cara desde menos de medio metro de distancia. El procedimiento fue extremadamente brusco, me dejó una marca enorme, la zona enrojecida y con un dolor insoportable.
Con el tiempo, en lugar de mejorar, la mancha se hizo más grande. Consulté con otros especialistas y me confirmaron que el nitrógeno líquido no es el tratamiento adecuado para este tipo de manchas (malesma), lo que me hace cuestionar la formación y criterio de esta doctora.
No recomiendo en absoluto acudir a este centro para tratamientos dermatológicos. Ojalá esta persona no vuelva a atender a nadie más de esta manera tan irresponsable.
Espero que esta reseña sirva para futuros usuarios. En las imágenes se ve claramente el desastre que hizo (nada más salir y pasadas dos semanas), y la pequeña mancha que había que “solucionar”. Hubiera preferido que me dijese que no sabía hacerlo.
PD.: Quítenle el nitrógeno porque por lo que he leido todo lo soluciona con eso.</t>
  </si>
  <si>
    <t>2025-02-15T22:57:13.891Z</t>
  </si>
  <si>
    <t>IVO. Instituto Valenciano de Oncología</t>
  </si>
  <si>
    <t>Carrer del Professor Beltrán Báguena, 8, Campanar, 46009 València, Valencia, Spain</t>
  </si>
  <si>
    <t>+34 961 11 40 00</t>
  </si>
  <si>
    <t>n@fivo.org</t>
  </si>
  <si>
    <t>DOCK LIKY</t>
  </si>
  <si>
    <t>Acudí el 14 de julio en transporte público acompañando a mi hermano, que llegó en un estado de salud muy deteriorado, con vómitos y mareos. Por su mal estado, solicitamos un volante para una ambulancia de regreso a casa. La experiencia ha sido inaceptable:
1. ​Trato denigrante e incompetencia: Al pedir el volante en el mostrador de la segunda planta del Pabellón C (servicio de Anestesia) sobre las 12:00 h, la empleada nos denegó la ayuda con una actitud borde y maleducada, excusándose textualmente en que "no sabía hacer esas cosas". No mostró la más mínima empatía ni derivó el caso a un compañero competente. Tuvimos que volver a casa en transporte público con el paciente indispuesto.
2. ​Higiene y mantenimiento deficientes: El hospital está descuidado. Los aseos estaban sucios y la desinfección es inexistente; hay decenas de dosificadores de gel hidroalcohólico por los pasillos, pero están todos vacíos.
​Me habían hablado bien del IVO, pero he comprobado que no es cierto. La calidad de un hospital se mide en sus tratamientos, pero también en el trato humano, la gestión básica y la higiene. Hoy han fallado en todo.</t>
  </si>
  <si>
    <t>2026-07-14T10:51:05.332Z</t>
  </si>
  <si>
    <t>Gem</t>
  </si>
  <si>
    <t>No se si la gente que ha tenido experiencia 5* es familiar de trabajadores de alli. Una amiga ha sido operada hace 1 semana allí de pecho: ni darle una cuña ni una silla de ruedas tras la operación, ni visitarla en horas ("no habrá apretado fuerte al botón" dijeron), trato distante, como números o animales, habitaciones de 1, con 2 camas haciendo tetris, muy impersonal y tacto ninguno. Falta vocación, sobra enchufismo. Ah, y al día siguiente para su casa por falta de camas... no había sábanas y le tuvieron que poner toallas... en fin, lamentable.</t>
  </si>
  <si>
    <t>2026-01-20T08:37:27.308Z</t>
  </si>
  <si>
    <t>Como es posible que en una habitación con dos camas, no siquiera tengan la poca delicadeza de poner una cortina de separación aunque sea colgada del techo como en cualquier hospital público. Que mientas le están cambiando una bolsa de colostomía a una paciente , tienen a la otra y a los acompañantes ahí, lo mismo pasa con el pañal. Donde está el trato humano? La protección y la privacidad del paciente se lo pasan por el forro. Por no hablar que anoche mismo, a las 2:00 de la madrugada el equipo que estaba trabajando en la segunda planta de hospitalización, sin ningún miramiento riendo a carcajadas sin respetar el descanso de los propios pacientes.</t>
  </si>
  <si>
    <t>2026-05-10T13:33:22.143Z</t>
  </si>
  <si>
    <t>Nieves N.</t>
  </si>
  <si>
    <t>Llevo más de 40 llamadas y no son capaces de coger el teléfono y tengo urgencia para que me pasen ,con dispensación de fármacos, es la segunda vez que me  pasa. En este momento son las 15:43 y se supone que tienes atención las 24 horas, no entiendo nada y menos por la situación que estamos pasando, te mueres antes de que te cojan el teléfono.Por lo demás, el trato es inmejorable desde consultas, pasando por hospital de día y por dispensación de fármacos que a ellos les doy 10⭐⭐⭐⭐⭐⭐⭐⭐⭐⭐, pero centralita de pena, comprendo que hay más pacientes pero 43 llamadas,😔 seguidas una detrás de la otra, esto se tendría que hacer mirar.</t>
  </si>
  <si>
    <t>2026-02-26T15:00:31.032Z</t>
  </si>
  <si>
    <t>Amelia Original</t>
  </si>
  <si>
    <t>Denuncio públicamente el trato y la gestión médica recibida en este hospital.
Soy hija de una paciente de 58 años con cáncer de páncreas, y acompañé a mi madre durante todo el proceso médico y los ingresos hospitalarios en Valencia. Escribo esta reseña desde el dolor más profundo, pero también con la intención de dejar constancia de una experiencia que considero inhumana, fría y carente de acompañamiento clínico real, tanto a nivel médico como asistencial.
En relación con el oncólogo responsable del caso Ricardo Yaya Tur, el trato fue constantemente distante, seco e inhumano incluso en momentos de máxima gravedad. Se transmitía una sensación de “robotización” en las respuestas y ausencia total de humanidad hacia una paciente joven con un cáncer tan agresivo como el de páncreas. Además, considero que hubo falta de iniciativa y falta de búsqueda activa de soluciones: en momentos clave, en vez de plantear opciones realistas o actuar con urgencia, se nos dejaba en la incertidumbre, con un estilo de comunicación que aumentaba el sufrimiento emocional y la sensación de desamparo.
Lo más frustrante es que nunca se nos ofrecieron alternativas reales, ni se movió una derivación eficaz a otros centros especializados. Después de que se intentara operar a mi madre y no fuera posible la intervención, era el momento de derivar con urgencia a un hospital con experiencia en tumores borderline/difíciles (por ejemplo, Barcelona / Hospital de Bellvitge, donde este tipo de cirugías se realizan). Yo misma contacté y me informaron de que debía ser el hospital de referencia quien tramitara la derivación. Sin embargo, cuando lo pedíamos, se nos respondía con evasivas por parte del oncólogo (“habla con el cirujano” y luego el cirujano me respondia “habla con el oncólogo”), y nadie asumía la responsabilidad de impulsar dicha derivación. Incluso se llegó a plantearme después la pregunta “¿habéis resuelto ya lo de Barcelona?”, cuando precisamente era el equipo médico quien debía activar esa vía. En una situación de cáncer de páncreas, cada semana cuenta. Y mi madre no tuvo ese tiempo.
Durante los ingresos hospitalarios en el IVO, la experiencia fue igualmente muy negativa. En varias ocasiones observé condiciones de higiene y atención indignas, y un trato por parte de ciertos profesionales de enfermería que considero inaceptable: respuestas desagradables, falta de empatía y presión constante hacia mí (familiar acompañante) para realizar tareas que corresponden al personal sanitario. Mi madre llegó a estar en situación de dependencia (sin poder moverse adecuadamente) y aun así tuve que insistir repetidamente para que se atendiera su higiene y cambios cuando era necesario, recibiendo comentarios impropios y maleducados. Como hija, viví semanas de angustia, agotamiento físico y emocional, sintiéndome desbordada y obligada a asumir cuidados físicos para los que no tenía medios ni fuerza.
Condeno públicamente la actuación de este hospital en el caso de mi madre.
Considero que fue un proceso marcado por frialdad, demora, falta de iniciativa y ausencia de alternativas reales, y que esa falta de actuación tuvo consecuencias directas en su deterioro.
Era responsabilidad del hospital hacer todo lo posible, y si un cáncer de páncreas no podía curarse, lo entiendo, pero entonces debían haber buscado alternativas, derivaciones, opciones de tratamiento y actuar con urgencia para darle más tiempo y calidad de vida.
No se hizo. Por eso denuncio públicamente el abandono y la falta de respuesta que vivimos, y el impacto devastador que tuvo en su final.</t>
  </si>
  <si>
    <t>2026-01-17T01:41:09.908Z</t>
  </si>
  <si>
    <t>Irene Triviño</t>
  </si>
  <si>
    <t>Es muy triste que a pacientes oncológicos se les de una DIETA que, lejos de nutrirles y mejorar su estado celular, lo que hace es ALIMENTAR EL CÁNCER.
Desayunos basados en azúcar y harina refinada, zumos, altas cantidades de carbohidratos de pésima calidad nutricional y postres lácteos siempre azucarados, de Danone.
Esto último es injustificable, porque les cuesta lo mismo a nivel económico cambiarlos por la opción sin azúcar añadido.
¿Es algo, quizá, pactado con empresas, industria alimentaria o entidades estatales?
Lo que está claro es que no hay una visión global de la salud de los pacientes y sólo se basan en el tratamiento a aplicar para eliminar la enfermedad, sin pensar en la importancia de los múltiples factores implicados en el cáncer.
Esto tiene que cambiar, pues empeora el estado de inflamación por el que muchos de estos pacientes transitan.
Estamos ante una malnutrición hospitalaria.</t>
  </si>
  <si>
    <t>2026-01-13T14:52:07.619Z</t>
  </si>
  <si>
    <t>maria Sanchez</t>
  </si>
  <si>
    <t>Hola no soy de escribir reseñas de hecho creo que está es la primera pero no puedo dejarlo pasar. Acabamos de enterrar a un familiar y me gustaría dar las gracias a un par de enfermos y un par de médicos que la verdad nos han atendido muy bien, pero también tengo que decir que con la mayoría estoy indignada, la falta de tacto y de empatía es total,si no os gusta vuestro trabajo no haberlo elegido por desgracia los enfermos no pueden elegir pero vosotros si. Se os necesita y vosotros de charreta y tardáis un mundo en acudir, algunas encima de muy malas formas. Os pediría que reflexionarias y cambiarais de actitud o por lo menos de trabajo.</t>
  </si>
  <si>
    <t>2025-04-09T07:22:09.443Z</t>
  </si>
  <si>
    <t>Petunia</t>
  </si>
  <si>
    <t>Quería decirles a todos que nunca en mi vida me hubiese imaginado que este hospital fuese tan horroroso, mi familiar acabó falleciendo en Abril, no lo recomiendo a nadie, todo tristísimo, cero empatía, dejadez absoluta por parte del personal de la primera planta. Horrible 🤦🏻‍♀️
Estoy de acuerdo con todas las personas que lo han calificado como yo.
No le pongo un 0 porque no se puede.
DEJAN MORIR A LOS PACIENTES.</t>
  </si>
  <si>
    <t>2025-08-26T14:07:33.798Z</t>
  </si>
  <si>
    <t>Jesus Sepulveda</t>
  </si>
  <si>
    <t>Muy pero que muy mal..Esta mañana tenía cita con el urologo a las 9 de la mañana,es decir el primero. A las 9,30 todavía no me habían llamado y le he preguntado a la señorita de la ventanilla y me dice que " ellos" están de reunión.
Me han llamado a las 9,41 ( si puedo paso foto de la hora que marcaba la pantalla.
ME PARECE UNA FALTA DE RESPETO TOTAL HACIA LOS PACIENTES.
Si tienen que hacer sus reuniones que las hagan pero no en el tiempo que tienen que estar atendiendo a los pacientes. LE DOY UN 0 EN ESTE ASUNTO. De lo demás no digo nada.
Nota: no puedo enviar la foto</t>
  </si>
  <si>
    <t>2024-09-27T13:02:55.104Z</t>
  </si>
  <si>
    <t>Pilar Parejo</t>
  </si>
  <si>
    <t>Mi padre con 91 años ha sido tratado en el IVO. Estamos muy descontentos con la atención, con poco empatía, cariño para una persona tan mayor, y con muy poca delicadeza. Le tienen q poner una máscara  para tapar la zona q no está afectada y no tienen tacto. Solo hay un enfermero con buena atención.  Ya es dura de por sí esta enfermedad, por lo tanto las personas q trabajan con estos enfermos deberían de tener más delicadeza y cariño.</t>
  </si>
  <si>
    <t>2025-02-02T18:01:48.938Z</t>
  </si>
  <si>
    <t>Raquel Tello</t>
  </si>
  <si>
    <t>Actualmente está recibiendo mi madre radioterapia y tengo que decir que estoy muy decepcionada, le tienen que dar 15 sesiones y fallan más que una escopeta de feria….
Mucho nombre, se queda en eso…
Creo que están jugando con la salud de las personas y no es una enfermedad cualquiera…</t>
  </si>
  <si>
    <t>2025-10-27T08:17:11.645Z</t>
  </si>
  <si>
    <t>Marisa-PA</t>
  </si>
  <si>
    <t>0 en admisión, a primera hora de la mañana, siendo el primero, atención más que regular, persona nada empática con pacientes, no trabajan en cualquier sitio, están en el IVO, donde aparecen personas en estado muy vulnerable.
Mal, muy mal.</t>
  </si>
  <si>
    <t>2025-12-28T06:55:13.646Z</t>
  </si>
  <si>
    <t>Pao</t>
  </si>
  <si>
    <t>Una estrella porque no puedo poner cero...
Aceptaron a mi hermano como paciente y cuando vieron que tenía una discapacidad intelectual, lo rechazaron hoy...Después de haber perdido 2 semanas, un tiempo vital muy importante para él.
Impotencia es lo que sentimos; pensamos que era un centro serio y dimos con la doctora Juan, una persona sin empatía ni don de gentes. Tendría que haber escuchado las opiniones sobre ella...
Fuera, en la sala de espera, hablo con más gente descontenta...Todos dicen lo mismo: ya no es lo que era.
Desde la doctora que nos tocó hasta las instalaciones, todo un despropósito.</t>
  </si>
  <si>
    <t>2023-01-26T14:22:33.360Z</t>
  </si>
  <si>
    <t>Angel Taller</t>
  </si>
  <si>
    <t>Son un desastre, No hay conexión entre las especialidades. Cada uno a lo suyo, Las consultas externas un desastre, las instalaciones no dan más de sí, híper saturación, Las urgencias soluciones provisionales hasta visita con especialista, a menos ( supongo )……. Que te estés muriendo (claro….).
En cuanto al tratamiento Oncologico y farmacológico, Totalmente correcto, últimos tratamientos y tecnología.
Pero ya está, una total y absoluta desconexión con las especialidades.
Hay consultas que no están acordes al Año 2024.
He tenido que ir yo solo por la calle y sondado en urgencias, a pedir cita a consultas externas…. INAUDITO!!!!.🤬.
Por supuesto hay gente y profesionales excelentes, en mi caso quien me preparo para la biopsia y la médico de Radio, un 10 !!.</t>
  </si>
  <si>
    <t>2024-10-08T10:52:51.566Z</t>
  </si>
  <si>
    <t>Sara</t>
  </si>
  <si>
    <t>Dr.Asensi de Radiología,  cero empatía.
Hasta el pasado viernes día 4 de octubre todas las pruebas hechas allí por los radiologos, habían sido muy correctas, pero éste día tenía cita para una ecografia de mama, y al no haber descargado en tiempo y forma las imágenes de la mamografía que me hicieron en otro centro, el Dr. Asensi, se negó en rotundo a hacerme la Eco.
Yo disponía de dichas imágenes en mi movil y si él hubiera querido las podia haber visto de alguna manera, pero de una forma más bien brusca , como he dicho antes, SE NEGÓ y su intención fué citarme en mayo del 2025, osea cero opciones para darle solución.  Mi cancer triple negativo fue encontrado de casualidad 6 meses después de haberme hecho Eco y Mamo, por lo que es de imaginar, que yo sigo las revisiones cada 6 meses,  y después de 5 años, sigo yendo nerviosa y con ese miedo que tod@s os podéis imaginar,  menos el Dr. Asensi.
Fue muy desagradable su trato y me fui llorando a la visita del oncólogo sin los resultados de la prueba. Sencillamente lamentable.
Agradecer la atención, tanto de las chicas de consultas de mama, como de la doctora que me atendió.</t>
  </si>
  <si>
    <t>2024-10-06T20:06:43.251Z</t>
  </si>
  <si>
    <t>Pedro Romero</t>
  </si>
  <si>
    <t>Miércoles 27 noviembre 2024, tenía cita para una ecografia y una pequeña biopsia en el Servicio xc de Radio a las 9 horas, a las 10:30 todavía estaba sin atender y hasta que no nos movilizamos preguntado a una de las empleadas de admisión o como se llame el pequeño local acristalado que está en el sótano del antiguo IVO no se avisa a los médicos que estábamos alli(era el único paciente que tenían para ese Servicio). Aparecieron pronto y pudieron hacerme las pruebas. Hoy jueves 28 me llaman porque tenía mandada otra prueba que era una Resonancia(puerta con puerta donde me habian hecho las pruebas ayer) también en Radio pero se ve que la administrativa de Radio a la que le llevé los papeles con la petición de pruebas del doctor dermatologo(excelente por cierto) Eduardo Nagore hace una semana escasa no debió ponerlas en mi expediente y me citan para el lunes 16 de diciembre. Podría haber hecho todas las pruebas en el mismo sitio ayer 27 de noviembre y se retrasa lo ordenado(está como preferente) por el doctor Nagore y yo con el cáncer dentro de mi cuerpo. No me esperaba estas negligencias administrativas en el IVO(algo que si es más habitual, por desgracia, en la Sanidad Pública). Espero no volver a padecer más fallos de la administrativa de turno  a nadie nos agrada ir a un hospital.</t>
  </si>
  <si>
    <t>2024-11-28T15:36:19.324Z</t>
  </si>
  <si>
    <t>Jesu</t>
  </si>
  <si>
    <t>No entiendo por qué en la zona de analiticas una vez que pasas por ventanilla ya no hay ningun control de llamadas. Para entrar a extracciones te llaman en pantalla por tus iniciales con lo cual si tienes 40 o 50 ppr delante tienes que estar constantemente mirando la pantalla.
Muy mal. Lo nogal es tener un número y poder ver cuantos van delante de tu y cuantos te quedan
Mal</t>
  </si>
  <si>
    <t>2025-05-19T07:17:46.348Z</t>
  </si>
  <si>
    <t>Pepe O</t>
  </si>
  <si>
    <t>El trato por parte sobre todo de los enfermer@s, ha sido espectacular. Por los médicos bueno, si podrían tratar mucho mejor a los pacientes. Ha habido momentos y situaciones que tienes, piensas que no saben por dónde van, no tienen ni idea de nada de lo que están haciendo. Solo hacen que probar  tratamientos nuevos y para nada. Hoy en día la quimio es lo mismo que hace 20 años. La inmunogerapia no sirve para nada. El cáncer es una enfermedad incurable en el 98% de los casos. Todo lo demás es una mentira. Es algo que venimos con ello que tenemos en mosotros,en nuestro ADN. Todo esto, que hay que investigar, que hay que donar, que hay que cooperar, TODO ES UNA MENTIRA MUY GRANDE, una farsa total Vuelvo repetir, es incurable.
Porque digo esto, porque depende de las EMOCIONES de uno mismo que tienes a lo largo de tu vida. Y eso a no ser que te des cuenta en su momento de esas emociones viene lo que viene.
Y si, digo todo esto, porque lo.he vivido en primera persona, ya que mi mujer, mi media naranja, mi apoyo durante casi 40 años nos dejó hace 11 días, el día 8/11/2024. Todo esto es algo que ya sabíamos, y que ahora ha sido ella la que ha demostrado que es así.
Así que este hospital que es Ref. ,no solo aquí en España, sino en el mundo entero y que está en el puesto 89 del mundo y primero en la comunidad valenciana . Que no de España como se dicen, es mentira. El primero es el hospital la Paz en Madrid. Aunque eso da igual, porque repito el cáncer es incurable.
Luego un hospital que por un lado te da de comer basura, que te da azúcar, que te da fritos, etc.etc. y luego te recomiendan que no comas todos estos productos,que comas bien, que seas responsable con ello, que puedes esperar. Pues nada de nada.
ES TODO UNA MENTIRA.
Gracias a todas las personas que puedan leer esto. Unos pensaran como yo, y nosotros no. Estamos un libre albedrío y todo es lícito.
Por último decir a todas esas personas que lo están padeciendo, que sean valientes y tomen la decisión es su momento,para que no sufran.
Así lo hizo mi mujer, tranquila, en paz y con muchísimo amor, amor por ella misma. Y luego por el amor de los demás, que ha sido muchísimo.
Gracias de todo corazón.
Espero que estás reflexiones puedan ayudar a todlas personas en el camino de la vida..
Gracias, y os quiero. ❤️</t>
  </si>
  <si>
    <t>2024-11-21T23:43:47.088Z</t>
  </si>
  <si>
    <t>Marymonte</t>
  </si>
  <si>
    <t>Instalaciones sucias, viejas, rotas, sin cuidar; las comidas son una vergüenza - mala calidad, sin sabor, da asco. Da pena que no se cuida mejor a personas tan enfermas.
Personal (sobre todo enfermeros, de limpieza, celadores) muy amables y profesionales. Los médicos - depende. Algunos más humanos, otros nada.
Mejor no tener que ir a este sitio. Es muy triste.
Muy mala experiencia con el Dr. Yaya: maleducado, prepotente, parece que le molestan los pacientes con sus preguntas. No entiendo como una persona así trabaje con personas  con cáncer.</t>
  </si>
  <si>
    <t>2022-11-13T11:07:57.951Z</t>
  </si>
  <si>
    <t>Laura R</t>
  </si>
  <si>
    <t>Nos atendió en Dr Marcos Melián y su falta de empatía y de humanidad al tratar un cáncer en una etapa avanzada dejó mucho que desear. Ser un buen médico empieza por saber comunicar y ponerse en el lugar del paciente. Una pena que los médicos no se formen en este aspecto.</t>
  </si>
  <si>
    <t>2024-02-05T10:20:39.382Z</t>
  </si>
  <si>
    <t>eMe clínica</t>
  </si>
  <si>
    <t>Avinguda en Joan Carles I, 65, 03202 Elx, Alicante, Spain</t>
  </si>
  <si>
    <t>+34 690 28 50 36</t>
  </si>
  <si>
    <t>Silvia Perez Navarro</t>
  </si>
  <si>
    <t>Reservé cita para una ecografía mamaria (20 €), cuando llego a la clínica me dicen que ese servicio no se da por sí sólo, que está incluido en la revisión ginecólogica y el coste son 110 €. Les comento que yo sólo he reservado ese servicio porque tengo la revisión hecha hace unos meses y que necesito sólo la eco porque me he notado algo, me dicen que me pueden hacer sólo la eco (sin el resto de revisión) pero que tengo que pagar el coste completo, 110 €.
Me parece un engaño y una manera muy miserable de captar clientes.
Si el servicio es completo no den opción de reservarlo sólo y con coste individual y si hay opción de revisión con y sin ecografía pongan el precio total de éstos servicios y no de forma individual.</t>
  </si>
  <si>
    <t>2026-05-12T15:04:28.923Z</t>
  </si>
  <si>
    <t>Cristina</t>
  </si>
  <si>
    <t>No recomiendo esta clínica a nadie. Acudí en dos ocasiones a la ginecóloga Irene preocupada por un bulto en el pecho. En la primera visita me dijo que lo que tenía era benigno y que nos veríamos dentro de 6 meses. Volví a acudir pasadas unas semanas porque me notaba el pecho más inflamado, me dijo que no debía preocuparme, pero que podía pedir cita en la Seguridad Social por si tenían que hacerme una biopsia.
Afortunadamente, ya había pedido cita por la Seguridad Social en paralelo y, tras las pruebas correspondientes, en las dos semanas siguientes me diagnosticaron un cáncer de mama agresivo.
Me siento muy decepcionada por la falta de rigor en su evaluación. Ante la duda creo que es importante saber derivar a otro profesional, ya que un diagnóstico tardío en este tipo de casos puede marcar la diferencia en el tratamiento y pronóstico de las pacientes.</t>
  </si>
  <si>
    <t>2025-02-10T15:40:48.615Z</t>
  </si>
  <si>
    <t>Pilar Martínez</t>
  </si>
  <si>
    <t>Llamé preguntando por el tiempo de espera de una citologia por un tema preocupante. Me mintieron por teléfono diciéndome que tendría los resultados en menos de una semana (por eso reservé la consulta).
Cuando la ginecóloga me atendió me dijo que lo mínimo para darme lo resultados eran 2 semanas.
No hubo ningún tipo de revisión ni explotación y pagué 70 euros por una charla de 5 minutos donde me recomendaron además un suplemento vitaminico que no sirve para nada. Sentirme estafada es poco.</t>
  </si>
  <si>
    <t>2025-08-08T13:36:28.388Z</t>
  </si>
  <si>
    <t>Laura García</t>
  </si>
  <si>
    <t>Consulta de ginecología con un coste elevado y estuve 7 minutos de reloj; además con la sensación de ir con bastante prisa. Lo siento, pero la atención no fue la esperada.</t>
  </si>
  <si>
    <t>2025-08-01T20:14:49.632Z</t>
  </si>
  <si>
    <t>Nuria</t>
  </si>
  <si>
    <t>2026-06-03T20:12:04.871Z</t>
  </si>
  <si>
    <t>Vithas Centro Médico Limonar</t>
  </si>
  <si>
    <t>C. de la Era, 6, Málaga-Este, 29016 Málaga, Spain</t>
  </si>
  <si>
    <t>+34 952 12 11 00</t>
  </si>
  <si>
    <t>infolleida@vithas.es</t>
  </si>
  <si>
    <t>Madalin Dinoiu</t>
  </si>
  <si>
    <t>Vithas schedule people every 7 min. I waited 45 min for my Endocrinology appointment, and the doctor came out explaining that he cannot and would not consult people in 7-10 min, which is TRUE and he empathetically told the people that it's gonna be a 1 hour delay at that point. I had to cancel because I needed to go back to work. The fault is with Vithas, their greedy system interferes with the medical procedure. The ladies at reception did not care at all, their attituded was indifferent, insensitive and unperceptive. Kudos to the doctor which wanted to go right by people.</t>
  </si>
  <si>
    <t>2024-02-15T13:53:14.571Z</t>
  </si>
  <si>
    <t>R C</t>
  </si>
  <si>
    <t>Private consultation for dermatology:
42 Min waiting time. (Arrived 5min earlier).
Was told that doctor could communicate in English when arranging the appointment, but she couldn’t. Disappointing.
Consultation lasted six minutes.
We will need a second opinion, waste of time.
Price of consultation 130eur.</t>
  </si>
  <si>
    <t>2023-08-22T18:49:31.415Z</t>
  </si>
  <si>
    <t>Georgiana Jensen</t>
  </si>
  <si>
    <t>What a disaster. Can not acces the analysis after 3 weeks. All the time there is an isuue with profile. Nobody to talk to and dosen of emails with no solution. I wish I have chosen a different hospital.</t>
  </si>
  <si>
    <t>2023-11-10T13:11:21.750Z</t>
  </si>
  <si>
    <t>Evelyn P.</t>
  </si>
  <si>
    <t>The place is a disaster to communicate with. Impossible to get through on the phone, multiple times hang up, waiting for blood results 2 weeks, their app doesn’t work, the code they give is invalid</t>
  </si>
  <si>
    <t>2023-04-13T09:33:31.982Z</t>
  </si>
  <si>
    <t>Florian Jansen</t>
  </si>
  <si>
    <t>Terrible experience</t>
  </si>
  <si>
    <t>2026-06-02T15:28:02.682Z</t>
  </si>
  <si>
    <t>Katherine Gray</t>
  </si>
  <si>
    <t>waiting more than one hour for doctor</t>
  </si>
  <si>
    <t>2023-06-20T08:21:42.563Z</t>
  </si>
  <si>
    <t>Dario Mircoli</t>
  </si>
  <si>
    <t>Simplemente una vergüenza, pésima información y gestión del paciente. Pedí una cita con el neurocirujano Dr. Miguel Pueyo (grandísimo profesional y trato impecable). Me dieron cita para dentro de 6 meses y pregunté inmediatamente si el doctor trabajaba con Mapfre o Sanitas, y me confirmaron ambas. Pedí además el favor de que, si había alguna cancelación, me avisaran dada mi grave situación médica.
Después de 4 meses me llaman y me dicen que se había liberado un hueco en otro centro donde el doctor también pasa consulta y que, si quería ir, podía hacerlo. Acepto, preguntando de nuevo si la visita seguía estando cubierta por el seguro. Me presento en el centro, a 80 km de donde vivo, y allí me dicen que la visita no está cubierta por el seguro.
Al día siguiente llamo, se disculpan y dicen no entender qué había pasado, y me reconfirman la cita anterior en el centro del Limonar.
Después de otro mes y medio, un sábado por la noche, recibo un email diciendo que me habían adelantado la cita al martes. Intento ponerme inmediatamente en contacto, ya que ese mismo martes ya tenía otra cita, pero solo consigo hablar con ellos el lunes. La llamada es surrealista: primero me dicen que es raro que me mandaran un email en sábado, así que envío yo el email. Entonces se disculpan por no haberme preguntado antes si podía asistir. Les digo que tengo otra cita ese día y que me mantengan la fecha prevista originalmente, y me dicen que esa fecha ha sido cancelada porque la habían adelantado y que, si quería volver a pedir cita, sería dentro de otros 6 meses.
En ese momento me veo obligado a cancelar la otra visita y a presentarme de nuevo a 80 km de donde vivo. Dada la experiencia previa, pregunto otra vez si el doctor consulta y opera con Mapfre y Sanitas, ya que con el nuevo año iba a cambiar de aseguradora. Me lo confirman todo y, para estar seguro, llamo dos veces grabando la llamada.
Pues bien, el martes me presento en el centro Vithas Limonar. El doctor es realmente competente, pero cuando va a darme los volantes para unas pruebas le digo que las haga con Sanitas, ya que a partir de 2026 cambiaría de seguro, y él me responde que no trabaja con Sanitas desde principios de 2025.
En resumen, he perdido 6 meses, he tenido que desplazarme dos veces, he recorrido 360 km en gasolina y he acumulado una enorme frustración. Ahora tendré que empezar todo desde cero y, en mi situación, esto puede significar una pérdida neuromuscular importante.
Por todo ello, quería deciros que sois unos incompetentes.</t>
  </si>
  <si>
    <t>2025-12-24T13:20:09.305Z</t>
  </si>
  <si>
    <t>Miguel Angel Garcia Moreno</t>
  </si>
  <si>
    <t>Pago 130 euros para que mire un dermatólogo a mi hija de 10 años y solo dejan entrar a uno de los padres...
El otro se queda fuera...
No se entiende mucho ese trato más aún cdo acabas de soltar 130 euros antes de entrar. En fin...</t>
  </si>
  <si>
    <t>2026-07-13T14:58:20.774Z</t>
  </si>
  <si>
    <t>Marcos</t>
  </si>
  <si>
    <t>Tenía cita a las 10.15 y llevo una hora esperando. Lo único que hacen es recibir gente en admisiones, después a esperar toda la mañana?? Este centro es privado y parece que estás en la seguridad social.</t>
  </si>
  <si>
    <t>2025-10-21T09:09:26.286Z</t>
  </si>
  <si>
    <t>Rocio TG</t>
  </si>
  <si>
    <t>Cada vez que vengo a este centro la espera es horrible, siempre más de una hora de retraso aunque coja la primera hora de la mañana; no lo entiendo…deberían gestionar y calcular mejor el tiempo con los pacientes para que lo haya tantos retrasos porque lo tenemos porque perder nuestro tiempo esperando innecesariamente</t>
  </si>
  <si>
    <t>2026-06-09T09:02:49.351Z</t>
  </si>
  <si>
    <t>María José López Nieblas</t>
  </si>
  <si>
    <t>Acudí este verano tras sacar cita para una revisión en el oftalmólogo ya que me observaba varias cosas anormales en el ojo. En cuanto llegué y antes de que me viese el oftalmólogo (al que tuve que esperar durante una hora porque tuvo un problema con el coche cosa que le puede pasar a cualquiera) me cobraron la visita, 112€ gracias al descuento que me hacían por el seguro que tengo. Tras pagar tal cantidad de dinero y esperar pasé a consulta y a día de hoy no salgo de mi asombro, no puedo decir que estuviese dentro de esa sala ni dos minutos. El doctor (el cual tuvo un trato bastante amable) me miró ambos ojos rápidamente y me dijo que todo era normal y para casa. Nada de graduación de vista, nada de fondo de ojos para observar posibles complicaciones y nada de sentarse a hablar detenidamente acerca de las cosas que fui a consultar. A día de hoy sigo sin salir de mi asombo al recordar el dineral que pagué por ni siquiera dos minutos de revisión. He ido a otros centros al oftalmólogo y es la primera vez que me ocurre algo así. Sin duda no volveré.</t>
  </si>
  <si>
    <t>2025-11-20T15:31:38.605Z</t>
  </si>
  <si>
    <t>Moisés B. B.</t>
  </si>
  <si>
    <t>Una vergüenza!
Dos horas de retraso para el ginecólogo???
Entiendo que se pueda retrasar 20min o 30min, pero 2 horas 🤬
Pagar un seguro privado de 70€/mes para esto…
En cuanto pueda me doy de baja.</t>
  </si>
  <si>
    <t>2025-12-18T18:43:25.953Z</t>
  </si>
  <si>
    <t>Jonathan Hart</t>
  </si>
  <si>
    <t>Este centro y su personal son incompetentes e inútiles. Es el centro médico más desorganizado, poco profesional y desastroso con el que me he topado jamás. Deberían ser investigados y cerrados. Huye y NO vayas allí.</t>
  </si>
  <si>
    <t>2026-05-22T08:43:21.327Z</t>
  </si>
  <si>
    <t>Victor BoomBeer</t>
  </si>
  <si>
    <t>Es vergonzoso, más de 2 horas de espera (que me lo expliquen, porque abren citas sobre las 9 y la cita era a las 10:30) y aún quedan clientes antes que nosotros, digo clientes y no pacientes, porque nos tratan como eso, dan citas a granel, de clínica privada nada, esto es como la seguridad social, dan más citas de las que se pueden dar (supongo que una cada 15 minutos) y así se genera el retraso. A facturar!!! En el Quirón y en el Hla El Ángel, de momento, no pasa esto, así que por algo será. Una y no más.</t>
  </si>
  <si>
    <t>2025-10-30T11:29:30.759Z</t>
  </si>
  <si>
    <t>maria navarro diaz</t>
  </si>
  <si>
    <t>El día 11 de noviembre,  tenía una cita qué previamente me habían enviado por WhatsApp, con el Doctor Valderrama,  cuándo llegué a las 16:45 a la clínica,  mi sorpresa fue qué se habían equivocado y la cita era al día siguiente,  por supuesto me perjudicó ya que conduje 70 kilómetros en vano , después envié un WhatsApp para comunicarlo a la secretaría del Doctor y me contestó a las tres horas, y q tenía que volver a ir al día siguiente,  cuando acudí a la cita el miércoles 12 de noviembre me dice el Doctor qué  no me puede realizar el tratamiento porque no se había comunicado, es decir la persona qué me atendió por WhatsApp no me había informado.
Estoy muy insatisfecha y descontenta ya q soy la perjudicada y quiero manifestarlo para qué no ocurra más.
Gracias</t>
  </si>
  <si>
    <t>2025-11-20T10:07:50.185Z</t>
  </si>
  <si>
    <t>Pablo cesar doña leon</t>
  </si>
  <si>
    <t>Una vergüenza, voy a mi cita de oftalmología con hora a las 10:10 y a las 12:00 aun no me han atendido, abren consulta a las 9:00 y cuando llego a las 10:00 ya hay dos horas de retraso? Como puede ser eso? Una vergüenza de centro medico, jamas volveré a ir.</t>
  </si>
  <si>
    <t>2025-04-09T09:51:46.233Z</t>
  </si>
  <si>
    <t>Jesús López</t>
  </si>
  <si>
    <t>Horrible trato y atencion. La prueba de que la sanidad privada no es un servicio para la gente sino un negocio.</t>
  </si>
  <si>
    <t>2026-07-23T11:39:50.115Z</t>
  </si>
  <si>
    <t>Antonio Baena</t>
  </si>
  <si>
    <t>Siempre van con atraso. Incluso con citas a primera hora, he llegado a entrar a consulta con dos horas de atraso. Hoy, de nuevo, tenía cita a las 9:15, son las 9:45 y sigo esperando. Pondré queja en la aseguradora.</t>
  </si>
  <si>
    <t>2025-08-25T07:43:37.491Z</t>
  </si>
  <si>
    <t>Carlos Vilchez España</t>
  </si>
  <si>
    <t>1 hora de espera a primera hora de la mañana. No tiene sentido que exista ese retraso a primera hora</t>
  </si>
  <si>
    <t>2026-03-20T08:28:29.955Z</t>
  </si>
  <si>
    <t>Ildefonso Toledo Pavon</t>
  </si>
  <si>
    <t>Acudimos a consulta de neurocirugía, día 19 de marzo, esperando y viendo pasar pacientes, va la paciente a preguntar a recepción y le dicen que ha habido un error, que el doctor se ha equivocado y consta como que ya ha pasado por la consulta, que va a pasar la siguiente, llaman a otro paciente y, cansados y enfadados, nos marchamos del centro, pasando por recepción y diciéndoselo, les da igual. Mala gestión, ya tiene cita en otro hospital, no volverá más a este especialista.</t>
  </si>
  <si>
    <t>2025-03-24T18:39:02.155Z</t>
  </si>
  <si>
    <t>Clínica del Río</t>
  </si>
  <si>
    <t>Edificio Playa del Ángel, Av. Litoral, Loc 4, 29680 Estepona, Málaga, Spain</t>
  </si>
  <si>
    <t>+34 952 80 53 29</t>
  </si>
  <si>
    <t>info@yourdomain.com</t>
  </si>
  <si>
    <t>Maja Medina</t>
  </si>
  <si>
    <t>Today girls were great,  however the doc they had... i just waisted my credits with insurance for literal NOTHING. He will see me never again!</t>
  </si>
  <si>
    <t>2026-04-29T19:43:46.164Z</t>
  </si>
  <si>
    <t>Lynne Moreno</t>
  </si>
  <si>
    <t>Sadly for me my last experience visiting my private GP wasn't positive☹️ It left me feeling that, gone are the days when your Dr actually cared for your health or well being .Even if they can't directly help you, they should show compassion and be supportive and take the time necessary to guide you to what needs to be done. Not just throw a phone number at you.</t>
  </si>
  <si>
    <t>2020-07-26T10:17:36.652Z</t>
  </si>
  <si>
    <t>Camilia Benidir</t>
  </si>
  <si>
    <t>THE WORST CLINIC ever
They are terrible horrible.. when you get to your appointment they make you wait 30 minutes to an hour simply because they are sooooo slow
The doctors OH MY GOD are just HORRIBLE
The worst I have ever encountered
Absolutely horrible at their jobs.. I have no idea where did they get their medical degrees or practiced their field
The neurologist NEVER replies when you need to ask him serious questions about your health or prescriptions.
The dermatologist will prescribe you some marketing over the counter products instead of giving you a proper treatment like doctors in the US or other countries.
Overall HORRIBLE clinic, the majority of people in Manilva or Estepona warned me about it but didn't listen
Now I know why!!!!!!
Please do not exhaust or sacrifice your health, time and insurance or money by going there
Just go to Quirron in Marbella or Algeciras.</t>
  </si>
  <si>
    <t>2023-07-13T18:28:49.968Z</t>
  </si>
  <si>
    <t>John Sullivan</t>
  </si>
  <si>
    <t>Not for the first time, I have been kept waiting far beyond my appointment time, for a simple blood test.</t>
  </si>
  <si>
    <t>2022-03-18T10:20:02.142Z</t>
  </si>
  <si>
    <t>Goli Bakhtiar</t>
  </si>
  <si>
    <t>Recptionist takes your insurance card and does not give back. Very bad to start.</t>
  </si>
  <si>
    <t>2023-12-25T05:07:59.432Z</t>
  </si>
  <si>
    <t>Diane Rowe</t>
  </si>
  <si>
    <t>I'm finding it very difficult to get an answer for anything, I've been sent to so many places!!</t>
  </si>
  <si>
    <t>2021-03-04T11:49:34.899Z</t>
  </si>
  <si>
    <t>Banyan Unic</t>
  </si>
  <si>
    <t>Voy a contar todo lo que me ha pasado en este centro, 1: en ginecologia habia dos enfermeras que justo cuando me puse en la camilla empezaron a reirse, esto no es profesional.
2: un dermatologo corpulento pasó su dedo por mi brazo, hombro y cuello sin necesidad, pudiendo explicar lo mismo sin tocarme, sali de alli pensando que era un salido.
3: fui a hacerme una analitica y la enfermera estaba resfriada, no usó guantes, me pincho un brazo sin exito y haciendome daño y cuando quiso pasar al otro le dije que no, que me iba, y se puso en medio impidiendo que me marchara diciendo: no te puedes ir, fue muy desagradable y obviamente me fui de alli corriendo.</t>
  </si>
  <si>
    <t>2025-10-28T17:23:13.119Z</t>
  </si>
  <si>
    <t>Helen</t>
  </si>
  <si>
    <t>Necesitan mejorar el servicio de atención telefónica, cada vez que he llamado para pedir cita he tenido que esperar una media de 13 a 15 minutos... la última vez casi 20 minutos!!! y ni siquiera he conseguido hablar con ellos...no llamo más...&lt;&lt;&gt;&gt;</t>
  </si>
  <si>
    <t>2026-02-17T20:03:07.270Z</t>
  </si>
  <si>
    <t>Jose Carlos Bartolome Barahona</t>
  </si>
  <si>
    <t>Horroroso.
Me tuve que ir sin que me atendieran. De vergüenza. Al final, me queje a Sanitas, pero, me voy a borrar del todo de Sanitas y Sanitas dental, por culpa de esta clínica.</t>
  </si>
  <si>
    <t>2026-05-01T14:36:34.963Z</t>
  </si>
  <si>
    <t>Carmen Almeida</t>
  </si>
  <si>
    <t>Fui hoy a hacer el reconocimiento medico de mi hijo para su ficha del futbol
Lo raro que me dijeron que eran 42€ antes de entrar a la consulta.
Ya iba con información de otra mama que en otros sitios eran 29 o 30€, con lo cual esperé a la consulta pensando que con ese precio le harian otro tipo de pruebas o algo mas de lo "normal"
Entramos a la consulta, nos cogen los datos el medico y le manda sentarse en la camilla y le auscultaton el corazón y se va a buscar el informe, lo rellena y nos dice que "eso es todo"
Sorprendia voy al mostrador y le hago saber de mi desconformidad y que es una  barbaridad que solo para un certificado medico me cobre ese dinero y apenas miran al niño y me dice que eso es lo que se viene cobrando y que sólo es un informe ordinario
Por ese dinero me parece que poco le hacen al niño, ya sabiendo esto no volveré ahí</t>
  </si>
  <si>
    <t>2025-09-09T17:54:41.101Z</t>
  </si>
  <si>
    <t>María Guerrero Gentil</t>
  </si>
  <si>
    <t>Humillante experiencia por parte de DANIEL GIMENEZ AGUILERA. Nula empatía y respeto por el paciente. Se pasó toda la cita riéndose de mí. Es una vergüenza que incluso en los centros privados uno se encuentre con médicos arrogantes que no saben tratar con pacientes.</t>
  </si>
  <si>
    <t>2025-02-27T13:53:49.850Z</t>
  </si>
  <si>
    <t>Verolisa Ross</t>
  </si>
  <si>
    <t>No recomiendo la pediatra Yamila. La experiencia no ha sido agradable en general. Su manera de tratar al paciente es desagradable. No tiene la habilidad social necesaria para tratar a la gente. Ha querido cambiarle el tratamiento que todos los médicos dan a mi hijo y que le ha ido siempre fenomenal, sin faltar el comentario de insinuación y la expresión de asombro para parecer estar por encima del resto de criterios médicos. Nos ha invitado a volver en 48 horas (sumándose citas a la caja como ya es habitual en algunos médicos privados), le hemos dicho que muchas gracias pero no volveríamos. Creemos que por eso, nos ha dado un informe y no nos ha dado las recetas. Cuando hemos visitado a la farmacia nos ha dicho que con el informe no podíamos comprar la medicación. Hemos llamado a la clínica para que nos mandara la receta digital que está debe ir con QR para resolver las inspecciones de las farmacias... 40 minutos nos han tenido los de la clinica esperando en la puerta de la farmacia para a enviarnos las recetas. Los de la clínica nos han dicho que con el código de barras de la receta era suficiente... El código de barras solo es válido si se entrega la receta original impresa en la farmacia, no para una receta escaneada pues no garantiza que se pueda comprar una sola vez.... Al final hemos tenido que visitar otro medico en el mismo día... Pediatra nada recomendable.
En respuesta a la respuesta de la clínica, como les respondí a su llamada por teléfono: 1. La doctora no me solicitó ningún informe directamente dijo que ella lo sentía pero no iba a darle esa medicación que son aerosoles porque es asmático, no me dió mas opciones, se limitó a prescribir lo que ella consideraba oportuno. De haberme solicitado el informe se lo podría haber dado, me los habrían enviado al momento. Aunque jamás me he encontrado con un médico que ponga en duda el tratamiento de mi hijo. Repito, no me dió mas opciones, recetó lo que consideró. 2. Las recetas las estuve esperando 40 minutos marcadas de reloj por los tiempos que marca el teléfono móvil, no se olvidaron, pregunté si era necesaria receta para comprar los medicamentos 3. Las recetas deben llevar QR si se pasan digitalmente, tienen ustedes un sistema obsoleto y fuera de normativa y además se lo insistí cuando llame para reclamarlas. Y por último decirle que mi cuenta de Google es una cosa y mis datos personales incluido mi teléfono es otra (ley de protección de datos) su respuesta debía ser únicamente por esta vía, no por teléfono como ha hecho. Y su llamada más que conciliadora, tenía un tinte recriminatorio muy habitual de quien no encaja una reseña negativa.</t>
  </si>
  <si>
    <t>2024-05-05T08:17:26.676Z</t>
  </si>
  <si>
    <t>Diego Arosa</t>
  </si>
  <si>
    <t>Esta es la opión de mi mujer: Muy mala experiencia. Cuando entras en una clínica esperas profesionalidad desde el principio. La recepción, carente de competencias en orientación al cliente. Me he sentido defraudada, violentada y he tenido que insistir para ser atendida correctamente. Eso si, pedirte la billetera es algo que gestionan rápidamente. La médico prácticamente revisó mi estado de salud visualmente. La ecografía vaginal ha sido muy dolorosa y la empatía ausente. Solo he encontrado un oasis de profesionalidad en la enfermera, Alicia, que sin duda, no merecen. Espero, revisen su calidad.</t>
  </si>
  <si>
    <t>2023-08-14T15:18:51.910Z</t>
  </si>
  <si>
    <t>Alma Argaiz</t>
  </si>
  <si>
    <t>Han cancelado mis sesiones sin previo aviso. Pésima gestión y nula profesionalidad. Se niegan a darme informes médicos de consultas realizadas. En fin, percibo bastante opacidad en la gestión y una completa falta de interés médico, dejandome a medias en mi recuperación. Qué fácil es echar la culpa a las aseguradoras, pero quien me estaba tratando es la clínica, no la aseguradora. Me queda muy claro cuales son sus prioridades. El paciente no está entre ellas, desde luego.
Gracias por la respuesta, que desde luego empeora todavía más mi imagen de vuestra profesionalidad (o ausencia de ella). Quien me estaba dando el tratamiento erais vosotros y nadie desde vuestra clínica me avisó de que no fuera ese día a rehabilitación. No solo no admitís vuestro error, sino que echáis balones fuera nombrando a otras empresas. Qué desfachatez y qué poca elegancia… Deduzco un liderazgo muy pobre.</t>
  </si>
  <si>
    <t>2023-01-12T18:40:08.499Z</t>
  </si>
  <si>
    <t>A. P</t>
  </si>
  <si>
    <t>Es un desastre , tengo mi cita a las 10,20h llegó con puntual a mi cita pero hay 4 personas por delante. Como puede haber tanto retraso si abren a las 9,00h ? Me he tenido que marchar... no Es la primera vez que me pasa pero si la última porque no volveré más. Esta clínica ha cambiado muchísimo, recomiendo no ir y probar en clínica Cenit  que está cerca.</t>
  </si>
  <si>
    <t>2019-06-25T08:39:10.212Z</t>
  </si>
  <si>
    <t>Ramon</t>
  </si>
  <si>
    <t>La Dra. Elisabeth blazetic de Estepona es horrible. No tiene ninguna empatía para los pacientes y encima siempre tarda dos horas en atenderte. No es aconsejable para nada!!</t>
  </si>
  <si>
    <t>2025-06-17T12:58:17.662Z</t>
  </si>
  <si>
    <t>Lorena Góngora Fuentesal</t>
  </si>
  <si>
    <t>Es la primera vez que visitó está clínica en Estepona y la última, primero iba con un retraso de 40 minutos . fui al endocrino para que que revisara el tiroides y salí de allí con lágrimas por qué el medico solo se preocupó en dejarme claro que tengo sobrepeso, como si yo no supiera. El tiroides ni me lo miro ni comento absolutamente nada . Me echo la charla de vente minutos llamándome gorda y dejándome destrozada mentalmente</t>
  </si>
  <si>
    <t>2021-08-20T10:18:14.158Z</t>
  </si>
  <si>
    <t>Nadia Paz</t>
  </si>
  <si>
    <t>Súper mala experiencia con el alergólogo. Dos citas que cojo por la tarde, dos citas que me cancelan porque el doctor no tenía cita entre medias y no iba a esperar por una sola paciente. Pienso que si se coge la cita es porque le ocurre algo a la persona… 0 profesionalidad.</t>
  </si>
  <si>
    <t>2022-10-08T21:00:00.822Z</t>
  </si>
  <si>
    <t>D</t>
  </si>
  <si>
    <t>Acabo de salir de la clínica del río de Estepona y la atención recibida por la doctora MARIA ELIZABETH BLAZETIC ha sido nefasta...me han citado a las 14.30h
Solo entrar en la consulta me ha dicho que rapidito que eran las 14.30 y aún no había comido...yo me he quedado😵
Ni si quiera me ha preguntado por mis antecedentes, ni tampoco si soy alérgica algún medicamento como todos los doctores suelen hacer (y tampoco lo miro en el historial)
Escribo una reseña por aquí pero en realidad tendría que escribir una reclamación.
Primero porque se me cita a las 14.30 y evidentemente si me dan la cita es porque la doctora va ha estar disponible y me va poder atender como un paciente citado a las 10 de la mañana.
Segundo porque gasto mi tiempo y me desplazo hasta aquí, para que la consulta con la doctora no dure ni 3 minutos.
Y tercero que pagó un seguro privado y la atención recibida es pesima..
Bueno y para colmo al salir la recepcionista Ana le pregunta a la doctora (yo estaba recogiendo la tarketa) ha comido ya doctora y le dice No, es que no se para que me ponéis cita a estas horas
Emmmm....perdona? Voy a que me visiten por SALUD, a que me miren bien
..no voy a comprar zapatos.
Es que cuando ha dicho rapidito que mira que hora es y aún no he comido...me he quedado</t>
  </si>
  <si>
    <t>2021-12-09T14:04:32.764Z</t>
  </si>
  <si>
    <t>Antonio Aragón</t>
  </si>
  <si>
    <t>Pésima atención, pido cita en endicrinologia con dos semanas de antelación y varios días antes me anulan la cita mediante un mensaje de texto. El día antes de la cita prevista me vuelven a enviar otro mensaje confirmándome la cita. Me pongo en contacto con ellos para confirmar si la cita está anulada o no, y me dicen que si que está cancelada y que me han llamado mil veces y no lo he cogido, le explico que yo en horario de trabajo no puedo coger el teléfono y sin más me cuelgan sin darme opción a cambiar la cita a otro día y sin ofrecerme una solución. Para nada recomendable</t>
  </si>
  <si>
    <t>2019-07-24T18:43:00.421Z</t>
  </si>
  <si>
    <t>Av. Marqués del Duero, 76, 2º, 29670 San Pedro Alcántara, Málaga, Spain</t>
  </si>
  <si>
    <t>+34 952 78 01 35</t>
  </si>
  <si>
    <t>Vanessa Rodrigo Jakubowski</t>
  </si>
  <si>
    <t>This is the worst clinic I’ve had the misfortune to attend in any country I’ve lived in. I had multiple maternity appointments here this year and every single appointment the gynae was at least 30 minutes late. He was sometimes rude and insensitive towards me and made upsetting comments about me and my unborn child. Today I went to have a coil fitted and they only told me after it was done that it costs €130. I wouldn’t have minded if they had told me before the appointment that I would have to pay. You can never book an appointment unless there is a cancellation as the doc doesn’t open his agenda until the last minute. I always leave this building feeling upset, lied to and mistreated. Don’t make the mistake of a getting involved with this clinic you won’t receive any respect or client care. I would rather pay for a flight to the Uk to attend an NHS clinic than attend here again. Good luck on increasing your client satisfaction.</t>
  </si>
  <si>
    <t>2023-11-17T09:22:08.487Z</t>
  </si>
  <si>
    <t>Debbie Harley</t>
  </si>
  <si>
    <t>This clinic and the doctors need investigating  , twice I've visited 1st time told my thyroid is not functioning normally,  4000 euros for blood tests, 2 ultrasound exams 2 x-ray 2 specialist appointments only to be told absolutely nothing wrong with my thyroid!!
Then severe pain in 1 hip after 2 mri and 2 ultrasound examinations trauma doctors tell me I have arthritis same doctor I suggested this to 3 months prior to him sending me for lots of tests all paid for by my insurance Company,  then I asked for pain injection in my hip he said he'd need to book a slot in a theatre to administer the injection I asked why as other doctors can do it in their surgery he then said lay on the couch and I'll try to administer the injection,  laid there 20 minutes he did an ultrasound then said oh sorry I've run out of needles
He said he'll prescribe me 30 sessions of physiotherapy instead and if that doesn't work he'll book a theatre slot for an injection
Enough is enough  now, I've waited 3 months in pain for nothing I'm now calling my insurance Company to tell them the whole clinic is a rip off</t>
  </si>
  <si>
    <t>2023-02-20T14:34:59.194Z</t>
  </si>
  <si>
    <t>Tradingis Fun</t>
  </si>
  <si>
    <t>Rang them to make an appointment and asked about the cost. I was told per consultation is 55 euro  however when i turned up they told me is 60 instead of 55. The difference of 5 euro is nothing but the principle here is that they lied on the phone and said we never have such fee in a very rude manner! This was it. This is going to be my first and my last!
The service was not nice at all, the doctor gives a miserable look and not happy with his job! honestly for that money i would prefer to give it to a homeless person at least i will make him happy!</t>
  </si>
  <si>
    <t>2020-03-03T21:15:42.085Z</t>
  </si>
  <si>
    <t>Terri Evans</t>
  </si>
  <si>
    <t>Not once in 5 years being at this clinic have I had an appointment on time.. I'm 39 weeks &amp; 5 days pregnant, had an appointment for monitors at 7pm.. they called at 4pm to change it for 5pm.. waited 35 minutes until they put me in the room and said someone would be in very soon. 17:45 still not been seen to. Useless and no one even apologises</t>
  </si>
  <si>
    <t>2019-03-05T16:46:52.675Z</t>
  </si>
  <si>
    <t>Deleted Account</t>
  </si>
  <si>
    <t>Never shown up to a home visit pcr test which lead to risking it a day before the flight for a pcr test in the clinic which turned out to be a false positive and they never offered another pcr test. This caused us to miss our flight and had to spend over £300 in total on pcr tests alone in spain just because of one false positive that the clinic kept claiming was 'impossible'. After calling them up we were connected to someone who sounded like he scouse and he claimed he was going to refund the money we paid for the false positive but we never got that money sent back. In the end we went to a reputable private hospital in Marbella to do multiple pcr tests and all of them were negative.
In conclusion if you're in need of a pcr test for travel, you should definitely avoid this clinic and the company DAM Health.</t>
  </si>
  <si>
    <t>2022-01-20T03:44:59.947Z</t>
  </si>
  <si>
    <t>T C</t>
  </si>
  <si>
    <t>Took my daughter for a PCR to confirm home antigen positive for Covid. Turns out PCR not required for recovery certificate, the clinic did not know. EUR 110 Eur later the test is negative. I call as it seems strange and suggest another test (for free) to get a definitive result. They refuse. Go to another clinic, result is positive. The following day Clinica del Rio calls to tell me they sent me another patient’s results and that my daughter has Covid. They refused to refund the PCR and second test, and after much debate conceded to pay half the cost of the PCR. Shocking.</t>
  </si>
  <si>
    <t>2022-03-11T08:20:09.802Z</t>
  </si>
  <si>
    <t>Marcello Bugini</t>
  </si>
  <si>
    <t>They tell you they give you the PCR results in one hour. And that's not absolutely true. Talk with someone at the phone is impossible. They just want your money. Completely unprofessional, please go to any other clinic.</t>
  </si>
  <si>
    <t>2021-11-08T11:03:37.961Z</t>
  </si>
  <si>
    <t>Jeannette Mitchell</t>
  </si>
  <si>
    <t>Very disappointed - had a walk in appt. Waited three quarters of an hour and still waiting. There system stinks. In the end had to leave as had another appt. Wont darken their doors again.shame on you.</t>
  </si>
  <si>
    <t>2018-07-23T20:20:29.347Z</t>
  </si>
  <si>
    <t>Kristine Holth</t>
  </si>
  <si>
    <t>After waiting 2 weeks for my appointment, they called me two days before to tell me that the doctor was cancelling my appointment and that I wouldn’t get another one for a month.</t>
  </si>
  <si>
    <t>2023-10-12T12:40:36.716Z</t>
  </si>
  <si>
    <t>Motorga GH</t>
  </si>
  <si>
    <t>Worst clinic ever!!! I lost my time twice for their incompetence, you better change your personal from the reception of 2nd floor!!!</t>
  </si>
  <si>
    <t>2021-06-23T12:43:03.731Z</t>
  </si>
  <si>
    <t>Mike Witts</t>
  </si>
  <si>
    <t>40 minutes late for appointment, zero communication, zero understanding</t>
  </si>
  <si>
    <t>2023-07-03T09:50:55.337Z</t>
  </si>
  <si>
    <t>beatriz gracia granados</t>
  </si>
  <si>
    <t>Acudí la semana pasada a oftalmología con el doctor Torregrosa y la experiencia no pudo ser peor. Me atendió en 2 minutos, sin escuchar mis molestias ni mi historia clínica previa. Tras su cita, tuve que ir al día siguiente de madrugada a urgencias del hospital clínico de Málaga por continuar con las mismas molestias por las que fui y con un dolor insoportable tras aplicarme el tratamiento que me había indicado, por lo que su consulta no solo no me sirvió para nada sino que empeoró mi situación ya que me había recetado un tratamiento más agresivo del que necesitaba y sin un analgésico que aliviase el dolor. Además, trasladé mi situación y malestar en dos ocasiones a la clínica tanto vía telefónica como hoy en persona en recepción, y han mostrado cero empatía y total silencio al comentarle lo ocurrido. Sé que desde el rol de administración no pueden hacer nada por cambiar lo ocurrido, pero al menos mostrar cierta comprensión y facilitar al paciente una vía en la que hacer llegar a la persona causante de su malestar un mensaje, sería de ayuda, o al menos le mostraría al paciente que lo escucha y que su bienestar , no solo su dinero, importa</t>
  </si>
  <si>
    <t>2025-12-29T20:52:38.554Z</t>
  </si>
  <si>
    <t>Meire Meire</t>
  </si>
  <si>
    <t>Auténtico desastre en enfermería . Después de pasarme por consulta me dice el doctor que fuera a enfermería obviamente con un turno , me siento allí y los de enfermería de parranda , después de a lo mejor haber cansado, le aparece un colega muy después de mi , y el chico de enfermería le dice, pasa , pasa , sin llamar en turno de pantalla porque obviamente me tocaba a mí , él llegó muy después , pero el enchufe le funcionó .Perdona , un poco más de respeto , somos todos iguales y me han pasado la tarjeta 2 veces eso si están atentos , pero no me atendieron. Desastre total .</t>
  </si>
  <si>
    <t>2025-12-24T13:16:07.257Z</t>
  </si>
  <si>
    <t>A. E.F.</t>
  </si>
  <si>
    <t>Indignada! Fui allí porque un doctor de su otra clínica de Estepona me derivó a un especialista “traumatológo” en concreto, y lo pongo entre comillas porque me dijo que para qué había ido? Que mi problema no trataba él (aunque fuese traumatologo) me dijo que era como si voy al cardiólogo y digo que me duele el ojo. RESPETO HACÍA LOS PACIENTES POR FAVOR!! Yo seguía instrucciones de su compañero,
Pero pasar la tarjeta si que lo hizo, aunque no me dio diagnóstico ni informe médico de la visita</t>
  </si>
  <si>
    <t>2025-11-17T14:22:35.485Z</t>
  </si>
  <si>
    <t>Aurora Morilla</t>
  </si>
  <si>
    <t>Una porquería de clinica
Tengo un siniestro con el coche el día 5 de diciembre , acudo al medico , me ve el traumatologo y me dicen que me llama para sesiones de rehabilitación.  Hasta el 29 de diciembre no me llama nadie , llamo yo estando enferma con gripe y me dicen que no me pueden dar cita hasta dentro de un mes y medio. Llamo 5000 veces más para coger cita y el día 14 de enero me dicen que estoy fuera de plazo que recoja mi expediente y me lo lleve a otra clínica.
Jamás recomendaré esta clinica a nadie , no hay profesionales ni equipo humano donde te resuelvan ningún problema.  Desde que no está doña remedios es un show aquello .</t>
  </si>
  <si>
    <t>2026-01-14T11:42:28.467Z</t>
  </si>
  <si>
    <t>Alonso Manci</t>
  </si>
  <si>
    <t>Ni se te ocurra renovar el permiso de conducir aquí.HUYE.  De lo peor que vi en trato personal, empatía, sólo intenta complicar todo en beneficio de la clínica.</t>
  </si>
  <si>
    <t>2026-06-17T10:43:17.606Z</t>
  </si>
  <si>
    <t>Máximo</t>
  </si>
  <si>
    <t>Los prefosesionales.son fantasticos pero la gestión  de las citas nefasta, llevo dos años viniendo y en ningún caso he esperado  menos de una hora para ser atendido , en más de una ocasión me he tenido que marchar porque a pesar de esperar una hora aún no era mi turno.</t>
  </si>
  <si>
    <t>2026-04-21T17:58:16.785Z</t>
  </si>
  <si>
    <t>Cliente</t>
  </si>
  <si>
    <t>He tenido que irme sin que me atiendan después de 1 hora de espera. Sentada al lado del mostrador de recepción sin que nadie me informase del retraso o de cuantas personas tenia delante.</t>
  </si>
  <si>
    <t>2026-04-09T17:57:56.720Z</t>
  </si>
  <si>
    <t>Marcos Moreno</t>
  </si>
  <si>
    <t>Desaconsejada experiencia en esta clínica que pone en riesgo a un paciente. Cita con el dermatólogo el 28 de junio. Tratamiento crónico con fórmula para 90 días y solo accesible con prescripción médica, con indicaciones del  Dr. Alejandro Pérez Rodríguez, de que una vez comenzado no podía parar el tratamiento por las contraindicaciones. Ante este escenario ese mismo día solicito si me pueden agendar una cita para septiembre pero me indican en recepción que no es posible y que debo llamar a finales de agosto. Llamo la semana pasada (finales de agosto) y me indican que no hay citas para finales de septiembre, les insisto por lo indicado por el doctor y me dicen que volverán a llamar. Nadie me llamó de vuelta (falta de profesionalidad). Vuelvo a llamar y tienen una centralita inteligente que directamente si vuelves a solicitar dermatología ya no te dejan contactar con alguien en recepción y te redirigen a un email (se quitan de encima a los clientes/pacientes). Escribo un email al cual aún nadie me ha contestado (falta de profesionalidad). Vuelo a llamar al teléfono directo de recepción y me indican que llame el martes que estará el doctor pasando consulta para preguntarle, yo solo quería  ya al menos la receta para evitar un problema médico de un tratamiento que ese mismo doctor me había prescrito. Vuelvo a llamar el pasado martes, me dicen que lo van consultar, pero que es imposible cita hasta octubre, que solo hay citas por privado (entiendo que el doctor se llenará más el bolsillo que con un seguro privado), por Sanitas no. Es decir, no es que no haya posibilidad de citas, y que si quiero la receta tengo que pagar una revisión completa por privado. Esto me recuerda un poco a "la primera invitó yo", y te crean ese dependencia médica de un tratamiento que no puedes pausar. Desde recepción me indican que esto es así para todos los clientes. CUIDADO FUTUROS CLIENTES/PACIENTES.
Uso la aplicación de Sanitas, y por cita telefónica en menos de 5 minutos, una dermatóloga de Tarragona llamada Elia me hace la receta al momento.
Todo esto es una experiencia real y estoy dispuesto a ofrecer detalles por cualquier medio, no podemos permitir que trafiquen con nuestra salud de esta forma.
Un saludo al responsable/director o directora de esta clínica que permite estás prácticas, que les harán ganar unos euros extras con sus citas privadas a costa de la salud física y o mental de pacientes.</t>
  </si>
  <si>
    <t>2025-09-03T17:38:43.950Z</t>
  </si>
  <si>
    <t>antonia maría</t>
  </si>
  <si>
    <t>En esta clínica he encontrado profesionales de gran calidad, tanto en recepción como en varias especialidades médicas, y valoro mucho el trato recibido en la mayoría de ocasiones. Sin embargo, mi experiencia con el área de urología, concretamente con el doctor Padilla, también Jefe de Servicio de Urología del Hospital Costa del Sol  fue profundamente dolorosa y me obliga a compartirla.
Como hija de un paciente suyo en esta clínica del Río, viví un proceso en el que un diagnóstico inicial resultó equivocado: lo que parecía algo benigno terminó siendo una enfermedad grave y maligna. El desenlace, por desgracia, fue la pérdida de mi padre en el hospital. En lo privado, recibimos de su parte recetas de tratamiento y propuestas de presupuestos para intervención; en lo público, encontramos barreras de acceso y ausencia de responsabilidad en momentos críticos, aunque esto último a él no le interesaba me comentó porque estábamos en su consulta privada.
Incluso tras el fallecimiento, intenté hablar con él en esta clínica, siendo yo paciente de consulta pagada, pero no se mostró dispuesto a escuchar lo sucedido. Acepto que cada ámbito profesional tiene sus límites, pero considero que la responsabilidad hacia su paciente no debería dividirse según el lugar donde se le atienda.
No pongo en duda sus conocimientos, pero sí cuestiono su trato, su empatía y su compromiso humano. Por lo vivido, no puedo recomendarlo. Este hombre no aceptó comunicarse conmigo en esta consulta para explicarle lo sucedido a su paciente de su consulta privada y en su lugar de trabajo público dirección. Me abrió las puertas de su consulta en esta clínica para que me fuera sin dejarme explicar lo sucedido a la semana de fallecer mi padre, simplemente me dijo que lo sentía pero que no era el momento ni el lugar de entrar en detalles.
No lo recomiendo porque en su lugar yo hubiera escuchado lo que había sucedido a su paciente desde que él lo vio en su consulta privada , varias veces, hasta lo que le había ocurrido a mi padre tras su hospitalización. Era su paciente, le insistí  persistentemente. Y yo fui a compartir lo ocurrido en un tono amigable. No quiso escucharme.</t>
  </si>
  <si>
    <t>2025-09-05T17:48:14.584Z</t>
  </si>
  <si>
    <t>Clinic El Campanario</t>
  </si>
  <si>
    <t>Av. de España, 20, Loc 5, 29649 Calahonda, Málaga, Spain</t>
  </si>
  <si>
    <t>+34 952 93 33 77</t>
  </si>
  <si>
    <t>info@clinicaelcampanario.com</t>
  </si>
  <si>
    <t>Lilly Clifford</t>
  </si>
  <si>
    <t>I went here as my 8 year old daughter was in a lot of pain with her ear. I was asked if I had medical insurance on arrival and stupidly the one year I didn’t, therefore I had to pay €120 before having the consultation. I showed the receptionist the ear drop I had bought from the Pharmacist and asked if the Dr is likely to prescribe something else for my daughter as she was in a lot pain and the receptionist said yes. We had to wait about 30 minutes before we were seen as there were about 4/5 people in waiting area. We were given a ticket and waited to be called, once our number was displayed we went in to the room to see the Doctor.
The Doctor wasn’t overly friendly unlike the reception staff. I showed her the drops my daughter had been taking from the chemist and the ibuprofen. She looked in her ear and said to keep using the drops I had already bought from the pharmacy. I was a little frustrated as I had asked before if my daughter would be prescribed something else and was told she would. I’m aware the receptionist aren’t medically trained but they have seen a lot of patients come and go and they were very confident something else would’ve been prescribed. Overall I felt it was a waste of €120 and time. If your child has ear ache, go on the pharmacy and buy Cetraxal Plus 3mg, Ibuprofen and apiretal (Calpol equivalent).</t>
  </si>
  <si>
    <t>2025-08-02T11:06:44.301Z</t>
  </si>
  <si>
    <t>Zandra Smith</t>
  </si>
  <si>
    <t>I am a patient at this surgery I went a few weeks ago to see the doctor to get blood pressure tablets as these were given to me going through the menopause .  The doctor was young glasses and slouched over her desk while typing.  She refused to give me the tablets as she said they were not for the use I wanted but I explained these were given to me in the UK.  She searched and gave me a prescription saying this will help - I worked in medical in the UK so I always look up what I get - I could not believe my eyes she gave me anti depressants which was absolutely dangerous and she did not say this to me - thank god I looked it up
I was so angry I drove back and was furious with her 'how dare she give me tablets and not tell me what they were' she fabricatred and said she told me and I will swear on the Holy Bible she didnt say it she was fabricating the truth
She should be struck off for giving me something that if I didn't look it up I would have to wean myself off these horrible tablets to get back to normal
The other doctors including the receptionists are outstanding she should not be in the job she is in and be struck off as a doctor</t>
  </si>
  <si>
    <t>2025-07-23T14:03:52.505Z</t>
  </si>
  <si>
    <t>Bregje Kazan</t>
  </si>
  <si>
    <t>I will never go here again. The doctor prescribed me the wrong medicine as well as a wrong dosage. Luckily i found out in time before taking the meds, could be dangerous otherwise.
A visit is very expensive; I paid about 85€ for a 5 minute appointment.
I reccommend going to another medical center if you are in Calahonda ( the one near El Zoco for example ) but do not let this quack doctor treat you with his unfriendly and unprofessional staff!</t>
  </si>
  <si>
    <t>2018-04-19T13:10:05.076Z</t>
  </si>
  <si>
    <t>Marbella Fitness Camps</t>
  </si>
  <si>
    <t>The doctor saw one of our instructors as she had fever, sore throat, chest pains and he was the most rude doctor,  the total opposite of sympathetic and so unhelpful. We will never send people there again. Dont go there!</t>
  </si>
  <si>
    <t>2019-09-24T12:50:46.547Z</t>
  </si>
  <si>
    <t>Irina Russell</t>
  </si>
  <si>
    <t>Very unprofessional! Had my first visit with them to a traumatologist. Spent 50 minutes waiting for the doctor and he left without seeing me! I can only assume the admins failed to let him know he had another patient.</t>
  </si>
  <si>
    <t>2021-11-10T05:05:29.938Z</t>
  </si>
  <si>
    <t>Michael Wilkie</t>
  </si>
  <si>
    <t>I wanted to make an appointment and was told I had to go on line they couldn't help me on the phone. I am 70 next year I can't believe they can't do anything on the phone, I can't see the point of them even bothering to answer it.</t>
  </si>
  <si>
    <t>2025-02-18T16:38:31.711Z</t>
  </si>
  <si>
    <t>Jeanette Bergman</t>
  </si>
  <si>
    <t>Stay away from this place !!!!!
They only want you money no interest to help you!!!
120 euro for 2 min doctor time no help!</t>
  </si>
  <si>
    <t>2023-08-01T11:02:02.131Z</t>
  </si>
  <si>
    <t>Kieron</t>
  </si>
  <si>
    <t>2 month waiting list to see someone 👀</t>
  </si>
  <si>
    <t>2025-07-10T15:57:18.378Z</t>
  </si>
  <si>
    <t>Jennifer Grant</t>
  </si>
  <si>
    <t>Atención negligente y decepcionante: Tras un accidente de tráfico, la atención recibida en urgencias fue totalmente insuficiente: no se realizaron pruebas diagnósticas, el informe no reflejaba lo ocurrido y hubo errores graves en la documentación enviada al seguro. Además, me intentaron cerrar el expediente sin completar el tratamiento prescrito y antes de confirmarse el traspaso de clínica que solicité. He tenido que acudir a otros centros, presentar reclamaciones y ahora estoy en proceso de demanda. Muy mala experiencia.</t>
  </si>
  <si>
    <t>2025-06-27T10:33:11.577Z</t>
  </si>
  <si>
    <t>Omar Tachfin</t>
  </si>
  <si>
    <t>Primera consulta hace 15 días, 40 minutos esperando, segunda con cita hoy para lo mismo, 1 hora esperando… Obviamente no habrá una tercera y terminaré mi casi en otro sitio. Si tienes mucho tiempo que perder esta es tu clínica.</t>
  </si>
  <si>
    <t>2025-10-15T11:59:07.716Z</t>
  </si>
  <si>
    <t>María José Ruiz</t>
  </si>
  <si>
    <t>MIENTEN. Fui hoy por primera vez y así lo dije, llamé también antes para saber si trabajaban con mi compañía y trabajan ¿qué es lo que no dicen? Que no cubren los tratamientos y evitan recetarlos para que los pagues allí.
Yo me fui a otro Hospital, donde me trataron de todo y sin pagar nada pero me pregunto ¿de cuántas personas se habrán aprovechado? Lamentable, no volveré.</t>
  </si>
  <si>
    <t>2024-10-28T10:52:46.309Z</t>
  </si>
  <si>
    <t>Lucia Santana</t>
  </si>
  <si>
    <t>hoy 7/6/2025 me atendió la Dra Catherina Aponte po una inflamación en el tobillo dolor al caminar y en  los gemelos en su informe dolor en el gluteo con irradiación hacia el pie dijo que era por su exporacion física sin enviarme hacer un estudio medico MUY MAL PROFESIONAL -el que esta inflamado es mi tobillo y dolor en el pie al caminar.</t>
  </si>
  <si>
    <t>2025-06-07T16:21:25.178Z</t>
  </si>
  <si>
    <t>Zama</t>
  </si>
  <si>
    <t>Fui esta mañana, las chicas de recepción me atendieron bien pero la Doctora Tatiana Osipova me atendio horrible , antipática, me hizo sentir mal y no me dio ninguna solución para mi problema. Solo me dio un montón de pastillas y me dejo ir sin más, con un dolor fuerte que tengo en el pecho. Cero interés y demostro muy poco conocimiento. No recomiendo para nada esta clinica mientras esta doctora trabaje ahí.</t>
  </si>
  <si>
    <t>2023-03-21T16:15:17.796Z</t>
  </si>
  <si>
    <t>Pablo Segura</t>
  </si>
  <si>
    <t>Mi experiencia con la "dermatologa " y pongo entre comillas, por que después en el Papel ponía medicina general. A sido malisima,  no los recomiendo para nada , dos veces fuimos y lo que mi hijo tenía, que nosotros pensábamos,ella decía que no , y efectivamente , era lo que nosotros deciamos dicho esta vez si por un Dermatologo. Tambien nos mandó mal el tratamiento, un desastre la verdad,  se ve que están acostumbrados a tratar con extranjeros y sacarles su dinero.</t>
  </si>
  <si>
    <t>2024-02-22T16:30:18.587Z</t>
  </si>
  <si>
    <t>Helen Helen</t>
  </si>
  <si>
    <t>He ido a que me mirasen un tapón de cera en el oído y el doctor me ha recetado suero fisiológico para hacer gárgaras y limpieza de las fosas nasales 6 veces al día, el tapón no lo iba a tocar porque quería esperar a que se reblandeciera y si no, tenía miedo de dañarme el tímpano. Ok. Pero me ha dado un tratamiento que no tenía nada que ver con el problema que he idoa  consultar y me ha dicho que si la infección (no sé cuál) pasaba al torrente sanguíneo me recetaria antibiótico. Muy extraño todo. El trato súper amable y muy limpio. Pero de verdad que el diagnóstico ha sido rarísimo.</t>
  </si>
  <si>
    <t>2023-08-02T16:46:39.393Z</t>
  </si>
  <si>
    <t>Maria Teresa Rojas Alvarez</t>
  </si>
  <si>
    <t>Ayer estuve en esa clínica, la atención del médico genial,la chica de recepción amable. La mujer que parece organizar aquello muy muy desagradable y prepotente en su trato,pedí informe de mi visita y me lo dieron incompleto dos veces.Lo puse en conocimiento de mi aseguradora.
Por supuesto que no vuelvo</t>
  </si>
  <si>
    <t>2022-01-26T11:14:06.929Z</t>
  </si>
  <si>
    <t>Giuseppe De Siena</t>
  </si>
  <si>
    <t>2024-12-19T09:15:12.119Z</t>
  </si>
  <si>
    <t>Kim Gillespie</t>
  </si>
  <si>
    <t>The clinic reception staff and practice manager need to go back into training to learn manners. They are always so ignorant,  rude and unprofessional. The best thing about the clinic is the female and male nurse who do the bloods who are fantastic and then the lady dr who operates the echos.</t>
  </si>
  <si>
    <t>2026-05-13T19:11:38.764Z</t>
  </si>
  <si>
    <t>Daniela H</t>
  </si>
  <si>
    <t>The reception people are very friendly and helpful in one way of getting you an appointment. They speak good English. Unfortunately every time I have an appointment to see a doctor I am waiting a very long time! 35-40 min the first time, than 1hr and 15 min and now I am again sitting here for 50 min and there is one more person waiting  in front of me for the same doctor! This is not acceptable with an appointment!! I would give less stars but the people at the front desk are very nice, so are the medical assistants.</t>
  </si>
  <si>
    <t>2025-02-05T10:50:03.543Z</t>
  </si>
  <si>
    <t>Peter Ringlever</t>
  </si>
  <si>
    <t>We had to use this clinic twice and they give a good service but BEWARE
when you have been treated or looked after they want you to come back for a follow up. In my first case I had minor cuts on my hands and they told me to come back to take the band aid off making it look like this was a service but they wanted to charge me € 40 again which they then waived. The next time my wife had a knee injury and was x-rayed and treated at the cost of € 170 which was fine.
They again said to come back for a check up, we went back and told the doctor the knee had improved and pain was gone. he looked at it
and we left. CHARGE € 130 !!
ASK for the charges first especially if they ask you to come back !!</t>
  </si>
  <si>
    <t>2019-02-07T09:25:43.916Z</t>
  </si>
  <si>
    <t>Policlinica San Juan</t>
  </si>
  <si>
    <t>Av. del Mediterráneo, 20, 29130 Alhaurín de la Torre, Málaga, Spain</t>
  </si>
  <si>
    <t>+34 952 41 74 00</t>
  </si>
  <si>
    <t>info@policlinicasanjuan.com</t>
  </si>
  <si>
    <t>Damien Caldy</t>
  </si>
  <si>
    <t>Drove to the clinic for another session at the clinic. Reception tells me they have cancelled the appointment and that they tried to call me without even leaving a message. Turned up at the desk. "No Sir your appointment has been cancelled, we called you but we did not leave a message"...Me: "I had confirmed with the doctor the day before in person and the doctor is in the practice today"...Reception: "Yes but it's cancelled". Bad service. No apologies of course. Avoid this clinic if you can.</t>
  </si>
  <si>
    <t>2021-12-16T14:38:41.981Z</t>
  </si>
  <si>
    <t>Alexander VZ</t>
  </si>
  <si>
    <t>They delay our attention for more than one hour without any explanation, several patients were attended before us and all without appointment, today was not a good experience.</t>
  </si>
  <si>
    <t>2022-08-16T13:22:38.918Z</t>
  </si>
  <si>
    <t>piipsworldwide</t>
  </si>
  <si>
    <t>Rudest "service" ever. Can't recommend. Maybe they don't like guiris... (foreigners)</t>
  </si>
  <si>
    <t>2021-06-01T22:24:21.600Z</t>
  </si>
  <si>
    <t>Stephanie Betney</t>
  </si>
  <si>
    <t>Very poor service</t>
  </si>
  <si>
    <t>2019-03-11T07:32:18.702Z</t>
  </si>
  <si>
    <t>Juan Diego</t>
  </si>
  <si>
    <t>Mi experiencia con la cirugía ungueal realizada en la Policlínica San Juan de Alhaurín de la Torre ha sido muy decepcionante, no por la intervención en sí, sino por la gestión y el trato recibido posteriormente.
Antes de la operación llamé por teléfono para explicar que el día 7 de julio se realizaría la intervención y que, desde el día 8 hasta el 13, estaríamos fuera de Málaga. Como sabía que serían necesarias curas posteriores, pregunté si podrían realizarse en otra ciudad (Mérida o alrededores). Me indicaron que debía plantear la consulta por WhatsApp a través del canal oficial de la clínica. Así lo hice y recibí una respuesta clara: no había ningún inconveniente en realizar las curas en la ciudad donde íbamos a estar.
Con esa información organizamos nuestras vacaciones y buscamos una alternativa para las curas. Sin embargo, cuál fue nuestra sorpresa cuando, al terminar la intervención, la enfermera Olga nos comunica que la primera cura debe hacerse obligatoriamente en la clínica.
Lo más grave no fue la contradicción entre lo que la propia clínica nos había confirmado por escrito y lo que finalmente nos dijeron, sino la actitud de la enfermera. En lugar de disculparse por el evidente error de comunicación o intentar ofrecer una solución, se dirigió a nosotros con una actitud soberbia y una absoluta falta de empatía. Su respuesta cortante fue que "lo más temprano que puede atendernos son las 12:40, siempre que no entre alguien con un corte en la mano"
Considero esta respuesta impropia de un centro sanitario. Cuando es la propia clínica la que proporciona información errónea, lo mínimo que cabe esperar es una disculpa y un esfuerzo por resolver el problema, no un trato despectivo hacia el paciente.
La confianza en un centro médico no depende solo de la calidad de la intervención, sino también de la coordinación entre su personal y del trato humano que reciben los pacientes. Lamentablemente, en nuestro caso, ambos aspectos han dejado mucho que desear.
Respuesta a su comentario: disculpe la confusión cirujago/ podólogo, aunque no es el asunto de la reclamación. La hoja con las recomendaciones nos fue entregada después de la intervención, con lo que no subsana el prejuicio ocasionado en horarios y transportes previamente organizados, a raíz de la información que el canal oficial de la clínica me comunicó por escrito. En ningún momento les falte al respeto; mi manera de dirigirme a una de sus trabajadoras (no a 2 como usted dice) no fue más que un reflejo de las mismas formas, totalmente fuera de lugar, que dirigió hacia mi la enfermera Olga desde el primer momento. En resumen, les dejo una estrella porque no me deja poner cero. Un saludo</t>
  </si>
  <si>
    <t>2026-07-09T07:29:14.943Z</t>
  </si>
  <si>
    <t>Eva Naranjo</t>
  </si>
  <si>
    <t>Fui en enero a realizarme la renovación del carnet de conducir, todo bien y el chico que me atendio me dice:
Chico: ¿Cual es su calle?
Yo: Calle XXXX
Chico: ok
Yo: Es el 1 X
Chico: Pff ahora te lo modifico
Yo ya me fui con el run run de que no me habia puesto la direccion bien, por eso me acuerdo de como fue exactamente la conversación, pues estamos a casi junio y mi carnet no aparece.
Miro en la web de trafico y me aparece enviado a correos desde FEBRERO, reclamo a la clinica y que hacen?
NADA ellos ya te han cobrado tus 50 euritos y ahora buscate la vida.
Perfecto me meto en la web de trafico miro la direccion que me aparece y para sorpresa de nadie lo que yo decia no aparece que sea el 1X, ahora hay que solicitar un cambio de domicilio en vete tu a saber donde mas reclamar el carnet del cual no hay cita en trafico, no hay numero de telefono gratuito y no hay nadie quien te atienda.
Me parece de vergüenza que si pasa esto nadie se haga responsable y lo unico que te dicen es que te esperes 6 meses que ya me caducara el provisional que puedo tener hasta MULTA por eso.
Una vergüenza todo, cogen el dinerito y chao.</t>
  </si>
  <si>
    <t>2026-05-29T08:11:03.555Z</t>
  </si>
  <si>
    <t>Nuria Lopez</t>
  </si>
  <si>
    <t>La experiencia en esta clínica deja mucho que desear. Hay médicos que parecen no interesarse por lo que tienes; pasan la consulta sin mirarte siquiera a la cara. El trato en recepción tampoco ayuda: da la sensación de que te hacen un favor cada vez que les pides una cita o les preguntas algo. La atención en general resulta fría y poco profesional, con la excepción de un chico que es bastante más apañado y atento. Por lo demás, la clínica transmite muy malas sensaciones y no pienso volver más!!! Si quieres viajar a Sudamérica sin salir del pueblo llégate a esta clínica solo hay sudamericanos trabajando….</t>
  </si>
  <si>
    <t>2025-09-22T21:54:54.818Z</t>
  </si>
  <si>
    <t>ACR</t>
  </si>
  <si>
    <t>Consulta de oftamología Dr.Rahul Rachwani, más de 4 semanas con orzuelo supurando ,dolor y visión borrosa.Me casca 3 pruebas (que debo pagar obviamente)me hace presupuesto para tratamiento de calor pulsada,me dice que me opere el astigmatismo, pero del tratamiento  que necesito porque el que me aplico no está funcionando, de eso nada.
Me voy con la sensación de haber tenido consulta con el Tío Gilito ,y con mi ojo 👁 doliendome igual y sin ningún medicamento alternativo para intentar su mejoría.
Fui obviamente a otro facultativo ...</t>
  </si>
  <si>
    <t>2026-06-30T09:24:33.681Z</t>
  </si>
  <si>
    <t>Mónica M.E</t>
  </si>
  <si>
    <t>Buenas tardes, soy usuaria de su centro desde que abrieron. Hoy esperando que me atendiesen , he presenciado una situación incomprensible con una pareja mayor que al salir de su analítica, preguntan cuando pueden recoger sus resultados, y la chica que les atiende de, y desde luego siguiendo instrucciones de dirección, les dice muy amablemente, que tienen q verlo en la app, atraves del correo electrónico o ir a una papelería a imprimir con un código q les facilita..el matrimonio les indica a q no saben hacer eso, y ella insiste q hace 1 año q ya no lo dan impreso...de verdad que a Ud. Como entidad no les da reparo en utilizar esa norma con personas de edad avanzada??? Creo q las normas no pueden ser extensiva sin tener en cuanta la edad de las personas que no estan al tanto de los avances informáticos....durante muuuchos años mi madre fue usuaria de sus instalaciones hasta su fallecimiento y desde luego no me hubiese gustado para nada que esa situación la hubiese tenido q sufrir..</t>
  </si>
  <si>
    <t>2026-01-12T12:28:05.359Z</t>
  </si>
  <si>
    <t>Inmaculada Lopez- LR Abogados</t>
  </si>
  <si>
    <t>Consultas con retrasos. 15 minutos en espera para que te atiendan por tfno y te derivan a un WhatsApp al que no contestan. Una pena .</t>
  </si>
  <si>
    <t>2026-07-21T14:00:15.177Z</t>
  </si>
  <si>
    <t>Almudena Domínguez</t>
  </si>
  <si>
    <t>NEFASTO.
Hace 4 semanas pedimos una cita para una prueba de otoemisiones acústicas para nuestro hijo recién nacido. Recalcamos vía telefónica el nombre de la prueba y nos reconfirmaron que hacían aquí la prueba.
Hoy hemos ido. Nos han tenido más de media hora esperando y  luego nos dicen que el otorrino pasa consulta en el otro local. Cuando llegamos a la consulta, el otorrino nos dice que no hacen otoemisiones en policlínica San Juan.
Resultado: nos han hecho perder nuestro tiempo esta mañana. Nuestro tiempo estas semanas porque ahora tenemos que encontrar otro sitio donde hacer la prueba y nuestra paciencia.
No vuelvo.</t>
  </si>
  <si>
    <t>2025-10-21T09:10:45.713Z</t>
  </si>
  <si>
    <t>Hongen Shyu Barcel</t>
  </si>
  <si>
    <t>Supuestamente me iban a dar cita de cirugía y ya pasaron 2 meses y aun esperando, les contacto pero no hacen nada...</t>
  </si>
  <si>
    <t>2026-01-29T13:28:30.352Z</t>
  </si>
  <si>
    <t>noelia anton martinez</t>
  </si>
  <si>
    <t>Una grandísima estafa , llevo a la espera 1hora y 10 minutos , desde las 19:15 y decía que era la cuarta persona en ser atendido , ahora son las 20:26 me dice que soy el primero en ser atendido  y acabo de mirar en Google y están cerrados desde las 20:00 ,pero como demonios sois así . Como vivís en el siglo pasado y teneis tanta poca vergüenza . Aunque sea un contestador diciendo : deje su número de teléfono y le llamaremos .
Sois unos sinvergüenzas de la A a la Z.
Y las recepcionistas ufffff tienen unas ganas de trabajar tremendas , he estado personalmente en otras ocasiones y uffff transmiten un entusiasmo y ganas........</t>
  </si>
  <si>
    <t>2025-09-23T18:31:31.113Z</t>
  </si>
  <si>
    <t>Pedro Bastante</t>
  </si>
  <si>
    <t>24h llevo para sacar una cita por móvil, voy porque era recomendado, tras varios intentos y dejarme con la conversación plantada en dos ocasiones, me voy a otro centro 👋</t>
  </si>
  <si>
    <t>2025-10-31T14:35:54.236Z</t>
  </si>
  <si>
    <t>Monica Sanchez Cabello</t>
  </si>
  <si>
    <t>Vaya decepción,tenía cita hoy a las 15:30 para fisio,me presento allí a las 15:20 y me dicen q no pueden atenderme xq el fisio se ha dado de baja y tenían mi tlf equivocado por lo q no han podido avisarme,cdo me confirmaron todos mis datos la semana pasada, dirección,d.n.i.,tlf,así que me he quedado con mi gran dolor de espalda sin atender,arrepentida de no habernos puesto una hoja de reclamaciones,ESO NO SE HACE, habéis perdido una buena cliente,os lo aseguro</t>
  </si>
  <si>
    <t>2026-01-29T18:05:38.069Z</t>
  </si>
  <si>
    <t>Cachimbero</t>
  </si>
  <si>
    <t>Buenos días,fuimos que teníamos cita con el Otorrino,llegamos y subimos a primera planta. NO teníamos tarjeta física pero si en la aplicación,tarjeta digital.Atentos:me dice la mujer que ha arriba así como con pocas ganas de trabajar,necesito el código,nosotros nuevos en esto pues le decimos no tenemos código y nosotros dice pues eso se lo dan en la compańia.Pero espera que en la compańia nos dice que el código se genera al instante desde la aplicación y la Lela que tenéis trabajando no fue capaz de decirlo,total perdimos la cita que nos hacía mucha falta,NUNCA más volveremos a San Juan gracias por nada.</t>
  </si>
  <si>
    <t>2025-09-27T10:33:15.694Z</t>
  </si>
  <si>
    <t>mortero 1200</t>
  </si>
  <si>
    <t>no le doy 0 estrellas por que no se puede, cual es el punto de sacar cita que pase media hora y que no atiendan, 1 estrella y para que me deje reseñar</t>
  </si>
  <si>
    <t>2026-03-11T10:56:14.195Z</t>
  </si>
  <si>
    <t>Cristina Duran</t>
  </si>
  <si>
    <t>Quería quitarme un lunar por estética especifiqué que es un lunar y no una verruga e incluso les pase foto, me dijeron que si me lo podrían quitar y paque consulta 80€, decido sacar cita y me Dan larga y me dicen que ya no tienen laser con cuando en el papel ponía que si entonces me han engañado, perdí mi tiempo y mi dinero. A dermatologia no voy más. Muy poco profesional.</t>
  </si>
  <si>
    <t>2025-05-19T14:51:32.891Z</t>
  </si>
  <si>
    <t>Olimpia Fernandez</t>
  </si>
  <si>
    <t>La cita para el análisis de sangre con cita previa es un desastre. 45 minutos de espera porque tardan como 20 minutos con cada paciente. No he visto esto nunca en ninguna clínica.  No lo recomiendo para nada y la atención de la chicas del mostrador mala no malísima. Se limita a decir que hay retraso y encima me querían colar a otra.</t>
  </si>
  <si>
    <t>2025-10-15T06:58:59.154Z</t>
  </si>
  <si>
    <t>sofía lópez</t>
  </si>
  <si>
    <t>Acudí para una cita con el traumatólogo, esta no duró mas de 3 minutos ya que, el mismo, me dijo que necesitaba otro especialista.
Pues cual ha sido mi sorpresa al descubrir que en la factura de copagos de mi compañía, habían añadido una ecografía muscular y una citología ginecológica!!!!</t>
  </si>
  <si>
    <t>2025-12-07T10:04:16.819Z</t>
  </si>
  <si>
    <t>University Hospital Quironsalud Madrid</t>
  </si>
  <si>
    <t>C. Diego de Velázquez, 1, 28223 Pozuelo de Alarcón, Madrid, Spain</t>
  </si>
  <si>
    <t>+34 914 52 19 00</t>
  </si>
  <si>
    <t>Masoud Bapiri</t>
  </si>
  <si>
    <t>Talking about QUIRON SALUD MADRID ( in Pozuelo).
The Administration is super BAD and super CARELESS!
We are using this hospital since 2018 and up to 2020 ( before COVID) everything was perfect. But after that, it looks they changed the administration.
- Most of profesional doctors left the hospital,
- the administration became very annoying, careless and aggressive.
- Even the application and appointment system. This is almost impossible you can take an appointment sooner than 3-4 months and depend on your insurance company, many doctors don’t accept the insurance company. You can’t take appointment with one doctor sooner than 4 months and if you pay without insurance, you have appointment in 24h!
My wife is 7 months pregnant with high risk Rheumatology disease , and looks some young new intern students mixed the blood tests with wrong numbers. Finally she had to repeat the tests while for her pregnancy was out of the standard period .
He rheumatologist insists for revision appointment after one month and they didn’t called for 1.5 months and then we had to go be person and they gave us appointment for next 2 months, and after few days they automatically canceled the appointment in the APP!!!!
And now a days, it became a place for Medical Turism !!! You see people come by bus with tour leaders and now can imagine why it’s not possible to take appointment for months!
The urgency as always is a disaster!!!
It’s a shame, because it is very modern and well equipped hospital with such bad management!</t>
  </si>
  <si>
    <t>2025-04-18T08:52:23.751Z</t>
  </si>
  <si>
    <t>Tomas Babkauskas</t>
  </si>
  <si>
    <t>We had a very disappointing experience with a pediatrician at this hospital. It was meant to be a routine check-up for our 9-month-old baby, who is usually cheerful, sociable, and very open to people.
Unfortunately, the doctor was extremely cold and distant from the start, showing no effort to engage with the baby. During the examination, she acted abruptly, put on a mask suddenly, which scared our son, and continued the procedures without any empathy, even when he started crying uncontrollably and visibly panicked.
She didn’t try to calm him, didn’t connect in any way, and even laughed at times, which made the situation even more distressing.
It was an extremely stressful experience for our child and for us as parents. We will not return, and we hope this feedback helps other families and encourages the clinic to assess how suitable their pediatric staff are for working with babies.</t>
  </si>
  <si>
    <t>2025-06-06T04:42:45.875Z</t>
  </si>
  <si>
    <t>Seona Angell</t>
  </si>
  <si>
    <t>My husband underwent surgery at this hospital.  Superb vascular surgeon of world renown, hence going to Spain.  Excellent surgery/surgical results and immediate post op care (first few hours) but thereafter care was appalling, too few nurses, alarm calls very slow to answer, food absolutely disgusting (almost inedible), private room not cleaned daily, towels/sheets not changed.  Had to beg for sheets to be changed due to blood leakage from a drain and then had to wait and wait.  Wanted more soap for the bathroom and was told the hospital had no soap!  Administration is very sloppy and disorganised and manager ineffective despite complaining about the poor service.  Only interested in taking the money asap.  For self funding private patients I would never recommend this hospital (not even worthy of the one star I had to give).  Bar the successful surgery and a very fine surgeon, it was dreadful and I would not want any patient to be treated as my husband (who is a retired UK consultant surgeon) was; it was a disgrace and way below the standard of UK private hospitals.</t>
  </si>
  <si>
    <t>2023-09-10T18:10:15.682Z</t>
  </si>
  <si>
    <t>Leslie Abril</t>
  </si>
  <si>
    <t>If I could give it a zero star I would. The client service is beyond bad, there is horrible management and is incredibly disorganised. I spend 2 hours in the building being bounced from floor to floor, department to department. All this to no avail.
Furthermore, they scheduled a vaccine appointment for me to the 8th of August. When I arrived, I spent yet another hour in the building being bounced from floor to floor. Only to the be told the department that does vaccines is closed today. SO THEN WHY DID YOU SCHEDULE ME AN APPOINTMENT FOR TODAY. No one takes accountability, everyone shifts blame and no one ever has answers.</t>
  </si>
  <si>
    <t>2023-08-08T18:00:31.263Z</t>
  </si>
  <si>
    <t>Paris</t>
  </si>
  <si>
    <t>I am pregnant and its my first child, so don’t have any more information about pregnancy analysis,…  &amp; my doctor was Dr.Victoria Valdés Devesa, duration of 8 months never she explained me what should I do &amp; about analysis when I went Laboratory they explained me ( other quiron salud hospital).
She doesn’t have patience to explained even I asked her!
Today I had appointments of 38 weeks pregnancy &amp; because of mistakes of quiron APP, they canceled my appointment when I called they said me with 20min late its ok, and we can go , so we went there &amp; almost 1 hour took a time, till arrived , and the doctor didn’t accept to visit me!
It’s horrible experience how is possible doctor doesn’t  have time for this almost emergency situation!
So I am thinking to change my hospital now in this days &amp; don’t recommend anymore Dr. Victoria Valdes Devesa for pregnancy !</t>
  </si>
  <si>
    <t>2022-06-15T13:06:22.179Z</t>
  </si>
  <si>
    <t>phil holder</t>
  </si>
  <si>
    <t>My wife had a pain attack from kidney stones.
We came in to emergency. It took them 3.5 hours to give her some pain killers and another 3 hours to do some blood test.
I don't have private medical insurance but I have never waited anywhere near this long in the public hospital in Móstoles on the few occasions I have been to emergency.
We were told there were only two doctors on the the A&amp;E ward which is why everything was so slow.
Pathetic</t>
  </si>
  <si>
    <t>2019-08-19T22:45:20.135Z</t>
  </si>
  <si>
    <t>Riven Whim</t>
  </si>
  <si>
    <t>I try to contact them because they are not sending me test results that I should have gotten last month. They have you on the phone for a very long time, asking for lots of personal information, only to hang up at the end. Every re-attempt requires me to repeat all information again. To this day I still don't have my results.
Edit: The answer to this review is fake. I already contacted them that way before I wrote my review. Still no answer.</t>
  </si>
  <si>
    <t>2024-06-07T18:14:40.224Z</t>
  </si>
  <si>
    <t>Louisa Gonzales</t>
  </si>
  <si>
    <t>Going to the pediatrician is always a nightmare. Usually the waiting time is around 1 hour. Today there is no one (14.08.2019) we arrived at 10.20 to vaccinate my kid of 1 yo and we are still here waiting.</t>
  </si>
  <si>
    <t>2019-08-13T09:32:31.809Z</t>
  </si>
  <si>
    <t>casonia scipi</t>
  </si>
  <si>
    <t>The international service is good; the hospital isn’t—not very professional for the price.</t>
  </si>
  <si>
    <t>2025-10-01T08:49:13.972Z</t>
  </si>
  <si>
    <t>bharani shankar</t>
  </si>
  <si>
    <t>They keep asking to go to another doctor, went to 3 doctors from Quinton salud and no use at the end. Very bad experience</t>
  </si>
  <si>
    <t>2023-12-27T12:44:31.168Z</t>
  </si>
  <si>
    <t>Lorena Martinez Frost</t>
  </si>
  <si>
    <t>Try to get a blood test here. I dare you. It's hilarious how bad they are at organizing anything simple.</t>
  </si>
  <si>
    <t>2021-05-17T07:59:19.049Z</t>
  </si>
  <si>
    <t>Alex Petrov</t>
  </si>
  <si>
    <t>Unqualified and inadequate personnel. Keep away from this center.</t>
  </si>
  <si>
    <t>2022-07-30T21:44:48.753Z</t>
  </si>
  <si>
    <t>patimartinezv</t>
  </si>
  <si>
    <t>Fatal.</t>
  </si>
  <si>
    <t>2023-06-17T08:45:33.742Z</t>
  </si>
  <si>
    <t>David Aguirre</t>
  </si>
  <si>
    <t>La atención en urgencias es pésima, tienes que esperar como mínimo 4 horas para que te atiendan, uno aguantando dolor, si uno viene a urgencias es porque necesita la atención rápida...
Encima uno pasa por los consultorios y los médicos están sin pacientes conversando, las enfermas haciendo vida social...
De verdad que pésima atención.
Si haces una reclamación nunca te responden te acercas al hospital a preguntar sobre la respuesta de la reclamación y no tienen ni la más mínima idea....
La sala de urgencias estq prácticamente vacío y aún así no llaman a atender......</t>
  </si>
  <si>
    <t>2026-06-05T14:01:13.165Z</t>
  </si>
  <si>
    <t>Carlos Carlos</t>
  </si>
  <si>
    <t>Citas imposibles. Consulta de Otorrino, pautan tratamiento y volver a revision. Imposible que me den cita para revisión, no hay huecos, ni con mi doctora ni con nadie. Cómo gestionamos ésto? Seguimos con el tratamiento de forma indefinida? En fin, ha perdido mucho, está ya como la Seguridad Social. Me ha pasado lo mismo con traumatología, todavía peor, porque tras una cirugía hace un par de años, la cosa se ha complicado.  Tampoco hay cita con el trauna...</t>
  </si>
  <si>
    <t>2026-06-12T13:14:47.534Z</t>
  </si>
  <si>
    <t>javi sanchez</t>
  </si>
  <si>
    <t>Fui a urgencias por un dolor intenso en el costado, me hicieron un electro y me tuvieron esperando media hora, yo pensaba que bueno al ser urgencias se tardaba, estuve andando por los pasillos y el de la sala 3 que me tocaba estaba todo el rato vacío, el médico con el móvil y hablando con su mujer que se le hacía la noche larga, después de 1 hora me llaman justo de la sala 3, una hora se tiró el tío hablando con su mujer. Una verguenza para poner una denuncia de verdad</t>
  </si>
  <si>
    <t>2026-07-21T09:42:53.628Z</t>
  </si>
  <si>
    <t>PRAGDA LATIN FILMS</t>
  </si>
  <si>
    <t>Muy lamentable el servicio y la imposibilidad de cambiar una cita. Necesito cambiar una cita, y online no me deja. Llamo por telefono,  y despues de varios intentos con una IA inutil, hablo con un ser humano y no pueden hacer el cambio (!). Me dicen que pasan mi mensaje a otro departamento para que me llamen, pero entonces cancelaran la cita que ya tengo desde hace 3 meses. A dia de hoy sin cita, sin llamada, sin nada. Para que tienen atencion al cliente (que no paciente) si no resuelven? Algo tan facil como cambiar una cita...y todo asi con Quiron....</t>
  </si>
  <si>
    <t>2026-04-21T06:33:09.389Z</t>
  </si>
  <si>
    <t>ALBERTO VALDÉS</t>
  </si>
  <si>
    <t>Pésima atención al cliente. Pedí cita por la web el 21 de enero 2026 porque por teléfono imposible. En lugar de salirme una cita prefijada me pone un intervalo de días en el que se supone que será la cita cuando me llamen para dármela. Hace una semana he llamado y por un milagro me cogen el teléfono y me dicen que pasan el mensaje a neurología para que me den la cita. A día de hoy sigo sin cita para que el doctor me de los resultados de una prueba y me evalúe y después de llamar toda la mañana es imposible hablar con nadie. Te salta un contestador que te cuelga indicando que la pidas por la web que tampoco te la da….. lo dicho un servicio pésimo y más siendo privado.
Actualizo mi reseña a día de hoy 17 de marzo de 2026. Me reafirmo en todo lo anterior e incido en que el servicio es pésimo. He intentado llamar para modificar o coger una cita nueva y no hay forma. Ni siquiera pude anular la que tenía ya que el enlace que te mandan para hacerlo no funciona, y es imposible contactar, por lo que allí estaría el pobre profesional esperando mi llegada. Intento pedir cita por la web y sale un mensaje como que ya te avisarán!!!! Si es como la cita anterior, y que no pude asistir y avisé cuando me llamaron que seía casi imposible ir...... te llaman al mes y medio de solicitar la cita y te dan para otro mes y medio después fijando un día y hora, y si puedes bien y sino tendrás que solicitar de nuevo otra cita para que te llamen y volver a empezar......LAMENTABLE
9 de abril de 2026. Sin noticias de la cita solicitada por la web el 17 de marzo ( y el teléfono como si no hubiera)
5 de mayo. Sigo sin tener cita para que el neurólogo que me vio en diciembre y quería ver los resultados de las pruebas  en febrero pueda atenderme. Ni desde atención al cliente ni el servicio de citas se han puesto en contacto conmigo. Alucinante como juegan con la salud de la gente. Y encima un hospital privado y se supone que de buena reputación.</t>
  </si>
  <si>
    <t>2026-05-05T08:18:32.195Z</t>
  </si>
  <si>
    <t>Ana Navarro Fraigneau</t>
  </si>
  <si>
    <t>Imposible contactar por tlf.
Imposible hablar con una persona,sólo con Mateo tú asistente personal.
Imposible poner una reclamación por tlf...
Señores empresarios del hospital, no estoy obligada a descargarme las recetas,historial ni volantes....
No estoy obligada a tener un ordenador,ni una impresora ,ni tinta ,ni mi tiempo por qué estudes quieran ahorrarse el personal ,papel,tinta ...
Por qué a mí no me hacen ningún descuento en el recibo.</t>
  </si>
  <si>
    <t>2026-03-04T14:53:35.866Z</t>
  </si>
  <si>
    <t>Jose Luis Martinez</t>
  </si>
  <si>
    <t>Acudí a este hospital por un problema que tengo de columna desde octubre y es donde más pronto me daban cita.
Llego con una resonancia en el móvil, que es como me lo facilitaron donde me la hicieron, en el cual me dieron una URL con un usuario y contraseña.
(Doctora Neurocirujano Estrella planta 1) En el móvil no la puede ver, porque solo quiere verla en el ordenador, me dice que vuelva a pedir cita y que la lleve (la entendí en un correo) para que ella la pueda ver, vuelvo a pedir cita, la llevo preparada en el mail, y resulta que en el mail tampoco, no tiene mail.....cuando creo que en todas las empresas existe correo de empresa, pero bueno, ganas de despachar lo más rápido posible.La digo que viene la URL con usuario y contraseña, y después de intentarlo varias veces, daba error. La comento si me puedo salir fuera para intentarlo y no tener que volver a desplazarme, pero nada, que hay gente fuera esperando y no puede volver a atenderme. 80km. 2 veces para nada.
Salgo de la sala, meto la URL en el navegador del móvil, con el usuario y contraseña....y misterio, a mí si me funcionó para ver la resonancia.
Que poca ganas de trabajar, donde están los médicos de hace unos cuantos años?? Entiendo que no sean todos como ésta persona, pero vamos.... No volveré.</t>
  </si>
  <si>
    <t>2026-05-13T14:39:01.666Z</t>
  </si>
  <si>
    <t>La Paz University Hospital</t>
  </si>
  <si>
    <t>P.º de la Castellana, 261, Fuencarral-El Pardo, 28046 Madrid, Spain</t>
  </si>
  <si>
    <t>+34 917 27 70 00</t>
  </si>
  <si>
    <t>atencionalciudadano@012.madrid.org</t>
  </si>
  <si>
    <t>Zoe Gencheva</t>
  </si>
  <si>
    <t>GRAVEYARD!!!! That one word describes this place fully. Rude, incompetent, unprofessional, lack of empathy, noticeable lack of persons centered care, none existent code of conduct, unable to answer questions due to lack of knowledge and adequate training, lacknof communication and so on. I was lucky to come out alive from this place simply because I dsicharged myself as soon as i saw how this would end and I'm, thankfully, highly qualified medical professional. My child is also abused in this hospital and overall I have made about 5 official complaints through the formal route. I have also requested my entire file for my stay, including MAR charts and care notes/records. If any of you wants to remain alive do not go to this place and avoid at all cost!!!!</t>
  </si>
  <si>
    <t>2026-01-07T22:55:24.902Z</t>
  </si>
  <si>
    <t>Lea Serveille</t>
  </si>
  <si>
    <t>Terrible experience at Hospital La Paz. The place was surprisingly dirty — floors, bathrooms, even the waiting area felt neglected. The facilities seemed outdated and poorly maintained. We waited forever with zero communication, and when they finally gave the vaccine, it was one of the most painful injections I’ve ever had. No blister pack, no aftercare, nothing. On top of that, the staff was unfriendly and unhelpful. Honestly felt like we were in a public place with zero resources. Would definitely not recommend.</t>
  </si>
  <si>
    <t>2025-07-12T14:18:05.929Z</t>
  </si>
  <si>
    <t>A B</t>
  </si>
  <si>
    <t>Eight months ago the dentist in Colmenar Viejo health centre gave me an appointment for an extraction in La Paz after a consultation and verifying x-rays from my previous dentist (their x-ray machine has been broken for ages they said).
In La Paz they informed me that it was just another consultation and in about two months I'll get another appointment and have to do x-rays the same day too.
I had to get the day off during a very difficult time and mentally prepared for surgery and possibly day off. I also live north of Colmenar and had to travel on both occasions.
This is highly disappointing and counterproductive for everyone involved.
The dentist in La Paz claimed this is happening quite often and apparently wrote a report (a hand written note on the appointment document ) and claimed that Colmenar could have probably done the surgery.
I think it's the first and last time unfortunately, even though l have paid social security for almost 30 years.
Make sure you're not going to just another consultation after waiting 8 months!</t>
  </si>
  <si>
    <t>2025-01-21T12:39:16.040Z</t>
  </si>
  <si>
    <t>Dra. Luisa</t>
  </si>
  <si>
    <t>I didn’t even want to give you a star. First this La Paz  hospital is not friendly to English speaking patients. For international tourists or expats! You will die here . I brought my daughter to their ER. She was having shortness of breath..due to her asthma exacerbation. they made us wait for 3 hours but no treatment given nor tests done. Horrible private hospital. I went to see the doctor to tell her that my daughter needs to be nebulized. Instead of talking to me properly. They sent me out because none of them speaks English and they said wait to be called ! For 3 hours of waiting nobody gave my child management nor diagnostic procedure   ! They didn’t care as to what I was pleading for . i will complain to Adeslas my health insurance and will make a report on this . I’m a dermatologist and a medical journalist from the philippines. I know the management to asthma very well. Their doctors/ nurses are all rude and with no empathy to patients. They should have. English speaking representative for the tourists coming to Spain. It’s pathetic that they have no treatment .-</t>
  </si>
  <si>
    <t>2022-06-15T01:09:46.396Z</t>
  </si>
  <si>
    <t>George Cardenas</t>
  </si>
  <si>
    <t>Horrible place. I think after covid people have become zombies here. Unfriendly, uncouth and all ill tempered  personnel. Nobody wants to help anyone. It's a shame to be here.😔. I've been just asking for directions and they would say they couldn't help you... It's not there , it's there... I don't know. Definitely not a place to be sick.😭</t>
  </si>
  <si>
    <t>2021-07-29T07:08:00.319Z</t>
  </si>
  <si>
    <t>Yousr madih</t>
  </si>
  <si>
    <t>A hotel full time racist stuff</t>
  </si>
  <si>
    <t>2023-03-27T14:15:32.412Z</t>
  </si>
  <si>
    <t>Arunadevi Sandhanamari</t>
  </si>
  <si>
    <t>Pls help this person she is arest in new delhi 🙏🙏</t>
  </si>
  <si>
    <t>2026-05-18T11:34:57.784Z</t>
  </si>
  <si>
    <t>Jennifer Morán</t>
  </si>
  <si>
    <t>Tengo malas experiencias en este hospital mi marido entró para morir por un cáncer metastasico y debia entrar por urgencias, como sufrió en urgencias no le administraban para el dolor como la morfina y el rescate,tenía yo que subir y bajar de este hospital me dio hasta crisis de ansiedad por ver a mi marido sufrir alli. M nuera  sufrió tres días de dolores de parto al segundo día con dilatación 8 y le decían que todavía no era hora nace el bebé y directo a la uci , puedo decir más pero estoy arta de que digan que este hospital es bueno con la mala organización .
Elegir otro hospital si saben que toca paleativos o si van a parir este hospital es posible que no salgas....</t>
  </si>
  <si>
    <t>2026-07-04T12:40:29.101Z</t>
  </si>
  <si>
    <t>Oscar Moreda</t>
  </si>
  <si>
    <t>Penoso y no pongo cero estrellas porque no me deja.En concreto al servicio de radiología de urgencias.Vergonzoso. además que  no tiene consideración con paciente de 97 años que ingresa ( sobre las 4 de la mañana hoy domingo 19/7/2026),por caída nocturna con dolor en la muñeca herida en el codo y golpe en la cabeza.
La doctora de urgencias decide hacer un tac y radiografía.........tras  5 horas esperando son la 9 de la mañana...se la llevan ha hace lasas pruebas, esperemos que no  sea nada.
Donde han estado estás 4 horas los radiólogos....este servicio es vergonzoso
Cada día  va peor todo.</t>
  </si>
  <si>
    <t>2026-07-19T07:10:13.503Z</t>
  </si>
  <si>
    <t>Isabel Heres</t>
  </si>
  <si>
    <t>Se supone que es un centro de referencia, sobre todo en medicina pediátrica.  La realidad,  un bebé de 2 años ingresa a las tres de la tarde dando alaridos de dolor en su oído.  Le tienen que suministrar calmantes cada dos horas , el médico de urgencias no está muy seguro del diagnóstico después de realizarle las pruebas y decide que debe verle un otorrino. A las 11 de la noche le dicen a los padres que el otorrino no termina de bajar y que mejor se van y si el niño sigue mal vuelvan más  tarde, ante su negativa consiguen que baje el otorrino pasadas las 12 de la noche. A todo ésto,  a el bebé  no se le proporciona ni merienda ni cena. Vergüenza de sanidad pública que pagamos con nuestros impuestos.  Si las condiciones de los profesionales sanitarios no son buenas, jamás deben pagar las consecuencias la parte más débil que son los pacientes y aún más cuando se trata de ancianos y bebés.  Vergüenza máxima</t>
  </si>
  <si>
    <t>2026-05-19T21:52:16.267Z</t>
  </si>
  <si>
    <t>Carmen Vicente</t>
  </si>
  <si>
    <t>Pésimo trato y servicio. Después de meses esperando para que te atiendan en una cita médica y de tener la cita confirmada por varias vías, llegas y no te atienden por huelga médica. Entiendo el derecho de los médicos a hacer huelga pero por lo menos podrían avisar en lugar de hacerme perder el tiempo, el dinero en parking y las horas de trabajo que tuve que pedir para acudir a la cita. Encima el personal te trata fatal, ni te miran a la cara y te hablan mal cuando vas de buenas. Todavía sigo esperando a que me vuelvan a agendar una cita después de no haberme atendido. La verdad es que no hay derecho a que te traten así, es una pena que esta sea la sanidad pública en España.</t>
  </si>
  <si>
    <t>2026-06-18T18:26:29.744Z</t>
  </si>
  <si>
    <t>gema quintana</t>
  </si>
  <si>
    <t>Trato al paciente y famliares nefasto. Es una vergüenza de hospital. No tenemos la culpa de la saturación de este hospital. No tenemos porqué soportar este trato. Lo mejor es pedir traslado a otro hospital. Otros públicos no funcionan tan mal.</t>
  </si>
  <si>
    <t>2026-07-02T16:28:11.283Z</t>
  </si>
  <si>
    <t>Jesús</t>
  </si>
  <si>
    <t>Una auténtica vergüenza el servicio de atención telefónica al paciente tanto el general como sobre todo el del servicio de marcapasos al que tuve que hacer más de 50 llamadas en tres días para poder contactar con ellos, ya que ni en el teléfono directo del servicio ni en el de secretaria me cogían. Directamente llegó un momento en el que lo descolgaron para no escucharlo. Entiendo que dirán que estaban muy ocupados pero entonces que no pongan en el papel que le dan al paciente que si tienen algún problema o duda que llamen. Una auténtica vergüenza. Si el responsable de todo esto estuviera en el paro sin cobrar un duro igual pensaban más en los pacientes. Muchas gracias.</t>
  </si>
  <si>
    <t>2026-02-19T10:15:25.694Z</t>
  </si>
  <si>
    <t>Icia Fernandez</t>
  </si>
  <si>
    <t>Una vergüenza que tengan a un paciente hasta las 2 am en un sillón, sin ponerse los doctores de acuerdo de si darle cama o mandarle a casa, pero eso sí, celebrando el gol del mundial, prioridades. Averiguaré cómo denunciar esto, porque duele la falta de humanidad, imagino que cuando son familiares de ellos los que están en estás situaciones hay trato de favor, porque si no, no entiendo la falta de empatía.</t>
  </si>
  <si>
    <t>2026-07-07T08:27:41.856Z</t>
  </si>
  <si>
    <t>Juli</t>
  </si>
  <si>
    <t>Llevo +6 años en lista de espera para una intervención "no urgente", y lo que queda, lo cual me está generando un sufrimiento psicológico que les da absolutamente igual. Cualquier queja al respecto la despachan con que no hay cirugía programada (no me digas) y que se me llamará cuando eso cambie. Vas en persona, te dicen que te quejes en atención al paciente y que no puedes hablar con nadie más. Te quejas tanto al hospital, en persona y online, como a otros organismos y la respuesta es la misma.
A falta de ver si me equivoco con que no pasará nada después de quejarme de nuevo amenazando con tomar acciones legales, sólo puedo decir que este trato es vergonzoso, deshumanizante y denigrante.</t>
  </si>
  <si>
    <t>2026-04-28T02:05:45.496Z</t>
  </si>
  <si>
    <t>Angela Hevia</t>
  </si>
  <si>
    <t>El personal de atencion en Urgencias,  nos tiene desde las 8:30 am esperando al especialista de Urologia , primero decían que era consulta de cirugía, medio revisaron, según remitían con el Urologo, pero según aparecía en pantalla para que lo viese el médico general, tanto esperar y luego era con el especialista de Urologia, esta gente ni se entera, no te atienden llevamos aprox. 8 horas y no nos ha visto remitido, no han colocado ningún calmante. Entiendan que a la Urgencia no se viene por gusto o placer.  Se lanzan la pelota de unos a otros...  de todas las consultas solo 1 persona atiende.</t>
  </si>
  <si>
    <t>2024-05-30T12:46:58.964Z</t>
  </si>
  <si>
    <t>Elisabet Marinas</t>
  </si>
  <si>
    <t>🚨 DENUNCIA PÚBLICA – HOSPITAL UNIVERSITARIO LA PAZ 🚨
El 29/01/2026 acudimos a urgencias materno-infantil con nuestra hija de 6 años tras romperse un diente de leche por un golpe. Tenía dolor intenso, inflamación y perforación en la encía.
Odontopediatría no pudo extraerlo por el dolor y avisaron a Maxilofacial. Decidieron meterla en lista de espera quirúrgica con sedación.
Han pasado 3 semanas sin noticias, mientras su estado ha empeorado gravemente:
▪️ Sangrado
▪️ Fiebre
▪️ El diente más incrustado
▪️ No puede comer bien
▪️ Cansancio extremo
▪️ El diente está perforando el labio
(Adjuntamos fotografías del estado actual).
Tras reclamar en Atención al Paciente, el 20/02 nos informan que ese mismo día la acaban de subir a lista quirúrgica “preferente”.
Volvemos a urgencias por el empeoramiento y el trato es de indiferencia. Nos dicen que no tienen medios para intervenirla. Recordamos que pueden derivar a otro hospital si no disponen de medios. La respuesta fue que eso no es asunto del especialista.
Lo más grave: se nos sugiere acudir a un centro privado porque allí no hay lista de espera. Después lo niegan.
Disponemos de grabaciones donde primero lo dicen y después se contradicen.
Es desesperante ver a tu hija sufrir y no recibir una solución.
Esto no puede normalizarse.
La sanidad pública debe garantizar atención adecuada, especialmente a menores.
Pedimos difusión.
Que se revisen protocolos.
Que se escuche a las familias.
📢 Hagamos ruido para que esto cambie.
Gracias por compartir 🫂</t>
  </si>
  <si>
    <t>2026-02-20T22:14:50.572Z</t>
  </si>
  <si>
    <t>Ana</t>
  </si>
  <si>
    <t>DESASTRE!!!!! Médicos en huelga y no avisan, hacen perder el tiempo a la gente!!!
estoy esperando una cirugia de mandibula desde 2023, la primera ves que consulte la médica me dijo que me quedara tranquila que no era necesario hacer NADA, solo esperar. VERGONZOSO</t>
  </si>
  <si>
    <t>2026-05-29T08:42:33.260Z</t>
  </si>
  <si>
    <t>Bryant Myers</t>
  </si>
  <si>
    <t>Una pena las instalaciones de este hospital. Los ascensores parecen sacados de una película de un hospital psiquiátrico abandonado… siendo un hospital tan renombrado y tener un inmobiliario tan desastroso, no tiene sentido. Las camillas, la silla de acompañante, rotas, cuando justo enfrente hay una hora casi innecesaria de millones de euros. Porque no invertir más en la sanidad pública?</t>
  </si>
  <si>
    <t>2026-03-17T16:24:22.227Z</t>
  </si>
  <si>
    <t>Yohanna Valera</t>
  </si>
  <si>
    <t>Este es uno de los mejores hospitales de España , vivo en la zona , pero hoy fui a llevar a mi hija y me tocó la peor  doctora a la primera consulta de cirugía , no digo que sea cirujana ya que no creo que lo sea posiblemente sea una enfermera y la dejaron en la mesa pesando y midiendo a las personas ya que el responsable pospuso la citas , Rocío posiblemente sea su nombre como dije anteriormente no sé si es real médico o era su suplente, una atenciones nesfacta , dio una explicación vacía , un ejemplo xenofogo , una comparación racial en cuatros a la estética facial de las personas a la que atendía ....  Orrible . lamentablemente en la paz es la única persona  con mala praxi.  2 temas el primero bien explicado el segundo ni lo explico solo pregunto te pica y ya está...no dijo ni aslo así ,toma una crema ,ponte agua ,lávate , inyecta, vete al privado , ponte  calor ,ponte frío ,o friega.ni hablado</t>
  </si>
  <si>
    <t>2026-03-26T10:14:56.425Z</t>
  </si>
  <si>
    <t>Olympia - Grupo Quirónsalud</t>
  </si>
  <si>
    <t>P.º de la Castellana, 259, Fuencarral-El Pardo, 28046 Madrid, Spain</t>
  </si>
  <si>
    <t>+34 914 10 12 00</t>
  </si>
  <si>
    <t>Merve Yilmaz</t>
  </si>
  <si>
    <t>If there was a zero star, i would give a zero star.
The hospital looks very nice and new and with good online systems - which is not that common in Spain. BUT, in an MR operation, they did not apply the compelete tests that doctor requested and because of that i have to repeat the test! How can such a simple mistake happen in such a big hospital!?!? Their one job is to read what doctor requsted and do the procedure, but instead they make the patient to repeat the whole thing! Would never come again, definetely not acceptable.</t>
  </si>
  <si>
    <t>2026-04-24T09:47:07.168Z</t>
  </si>
  <si>
    <t>Silvia Dondi</t>
  </si>
  <si>
    <t>Very bad experience. I had the appointment at 18 and wasn’t attended until I asked at 18:45. They couldn’t find the guarantee of payment provided by my insurance and they ended up telling me that the service I was covered for was not existing in the clinic and that the doctor would not accept it. I had to talk with 2 different people there and ended up staying 1h45min waiting for a solution that did not arrive. Wasted 2h of my time without even getting the appointment. Zero attention to the costumer - I contacted them through email as well and received no answer.</t>
  </si>
  <si>
    <t>2026-02-17T13:48:14.961Z</t>
  </si>
  <si>
    <t>Thierry Ferland</t>
  </si>
  <si>
    <t>Looks good from the outside, but I had a terrible experience at each one of my 4 visits:
First visit: I had to wait an hour. The doctor told me they book to many patients for them to see.
Second visit: It went well, but the next day they called me and told me I had to go back to redo part of the MRI because something went wrong.
Third visit: I came back to re-do part of the MRI. They had me waited 30+ minutes when it was supposed to be a quick stop and go to fix their mistake. After the wait, they told me the MRI correction wasn't necessary after all. what the !?
Fourth visit: I went back to see the doctor with my MRI result. Guess what. Well doctor wasn't there!? I did have a missed call on my phone, but they didn't even bother sending me a SMS or email to notify me. My insurance did charge me for this visit, so now I need to call the hospital about it. Unbelievable.
I haven't been back since then and don't want to go back ever. I'll find doctor in another clinic.</t>
  </si>
  <si>
    <t>2025-03-03T17:12:24.854Z</t>
  </si>
  <si>
    <t>Erika Toth</t>
  </si>
  <si>
    <t>I have been visitting this centre for almost 2 months now following my ankle injury. I paid for 2 MRIs, 7 sessions of physiotherapies and at least 5 or 6 consultations with the traumatologist. I experienced the rudest treatment by the traumatologist yesterday after i had to cancel a  PRP treatment at short notice due to acute bronchitis. His comments included "how he is going to feed his sons if i keep cancelling appointments", he referred to me repetitively as "una coja perdida" and even to issue a medical certificate for my work seemed to be an extreme favour to ask for, all this at an appointment for which i paid 110 euros and he did not even look at my ankle. I am never  returning to Olympia again.</t>
  </si>
  <si>
    <t>2025-02-25T03:04:51.707Z</t>
  </si>
  <si>
    <t>Guillermo Perez</t>
  </si>
  <si>
    <t>Absolutely appalling disregard for patient/customer. Avoid!!!
Booked online an appointment with an urologist at Olympia Quiron complex on October 25th for October 28th since I had a fairly urgent medical issue.
I showed up at the appointment and the urologist, Dr. Peinado, who claims on Quiron’s website to cover general urology, rejects to attend me on the grounds that he no longer works in such petty matters, as he now only does penis surgery, enlargement, or implants. Found it rather unprofessional. Forwards me to a colleague.
Have to wait until 3 days later to finally see a different urologist, Dra. Pabón. Appointment also at Olympia Quiron is about 40 minutes late. Doctor prescribes me some pills and orders an ultrasound and some lab tests. The technicians at the ultrasound and lab reception, outstanding, nothing to blame them, very professional.
But then, doctor told me to book a telephone consultation after tests results come out since I don´t live in Madrid. I booked the earliest possible which was on the 15th of November, 18 days later.
On November 15th, I awaited for the telephone consultation call and never happened. Quiron sent me an email AFTERWARDS stating that my telephone consultation had been cancelled. No further explanations.
I then go on the Quiron app and book again a new telephone appointment, the earliest possible which was November 22nd. Once again, doctor stood me up for a second time on November 22nd. There is not even an email from Quiron this time. I am FURIOUS. How can I ended up being treated like cattle?!!!
I asked for a reimbursement, which they swiftly did, no big resistance from their side which I found surprising and suggested me they are used to these distressing situations where customers ask their money back cause of the way they have been mistreated.
PS: Yes, agree with previous comments: indications/signage to parking is worse than useless; once you enter the complex it is also hardly possible to navigate it and receptionists sitting around the different areas you can tell are tired of having to sort out lost patients from one side to the other. It just does not work; too modern but too heartless.</t>
  </si>
  <si>
    <t>2024-11-29T11:18:07.141Z</t>
  </si>
  <si>
    <t>J Heida</t>
  </si>
  <si>
    <t>The laboratory at -1 is always insanely busy, and they have 1 person sitting behind the desk. Other employees behind other desks have zero patients and do nothing. I only have to drop something off and it took 1.5 hours, very bad.</t>
  </si>
  <si>
    <t>2025-10-08T08:35:37.510Z</t>
  </si>
  <si>
    <t>Santiago Bethenod</t>
  </si>
  <si>
    <t>Very bad reception and organization, I have been waiting nearly and hour for an appointment. And reception seems to be unable to communicate with the doctors</t>
  </si>
  <si>
    <t>2024-12-13T09:47:49.719Z</t>
  </si>
  <si>
    <t>Santiago Manzanero Lopez</t>
  </si>
  <si>
    <t>Tenía una cita de primera consulta en Endocrinología y Nutrición con la Dra. Ramírez a las 12:00. A las 12:20 todavía no había sido llamado ni había recibido ninguna explicación sobre el retraso, por lo que decidí cancelar la cita y marcharme.
Entiendo que pueden surgir imprevistos, pero considero que el tiempo de los pacientes merece el mismo respeto que se exige a ellos. Hace dos años me operé en este hospital y la experiencia fue excelente, por lo que mi valoración no es sobre la calidad médica de la Dra. Ramírez, que desconozco porque no llegué a ser atendido, sino sobre la gestión de los tiempos de espera y la falta de información.
Por esta experiencia, no recomendaría esta consulta de Endocrinología y Nutrición.</t>
  </si>
  <si>
    <t>2026-06-05T10:41:05.797Z</t>
  </si>
  <si>
    <t>Elena Garcia - Bouza Mur</t>
  </si>
  <si>
    <t>Supongo que si pagas te atenderán bien pero por sociedades no lo recomiendo. Mucho retraso para entrar y nadie te informa de eso, como si los únicos que trabajan y tienen vida son ellos. Señores el tiempo vale igual para todos así que den la oportunidad de decidir si lo quiero gastar en su sala de espera desde el principio. Después de estar 35 minutos en una sala de espera errónea me informan, gracias a que he preguntado, de qué va con retraso y tengo aún 3 personas delante pero en otra consulta. Mucha instalación pero muy mala gestión. No vuelvo</t>
  </si>
  <si>
    <t>2026-07-06T18:02:09.118Z</t>
  </si>
  <si>
    <t>Marisol M</t>
  </si>
  <si>
    <t>Pues nada...mi experiencia negativa. Pido cita por la app (genial porque me la dan para el dia siguiente) pero viendo reseñas, decido llamar antes de ir, no me vayan a hacer pagar la consulta. Y asi fue.
Para que no os molestéis en ir...
●Adeslas tarjeta azul o plateada, aceptados (no se las condiciones)
●Adeslas tarjeta dorada, no aceptados (se paga la consulta)
Además la chica de atencion telefónica, muy borde y maleducada, no formada para dar ese servicio , diciendo que he mentido en el número de la tarjeta, porque es imposible que me deje coger la cita... (llevo con la tarjeta en la aplicación, mas de 10 años)
Lo privado, antes no funcionaba asi, ni de lejos!!!
En fin...asi están funcionando las aseguradoras. NECOGIO REDONDO.
TENGO ADESLAS COMPLETA, TODO CUBIERTO Y SIN COOPAGOS NI NADA. Pero en este centro, no atienden tarjeta dorada de adeslas.
GRACIAS POR AHORRARME EL VIAJE!!</t>
  </si>
  <si>
    <t>2026-05-08T11:25:37.673Z</t>
  </si>
  <si>
    <t>rr vv</t>
  </si>
  <si>
    <t>Ayer acudí al servicio de dermatología de Olympia porque el doctor Domínguez Santás me ha operado de un carcinoma basocelular en la nariz que me ha dejado una cicatriz muy molesta y fea. Uno de los puntos internos no ha sido reabsorbido por mi cuerpo que lo ha expulsado y no deja que cicatrice definitivamente la herida. El doctor me dijo que este punto es muy delicado y no todo el personal sanitario sabe quitarlo, así que me citó antes de empezar a pasar conculta. Primer problema que me encuentro, la recepcionista (no es la primera vez que en esta clínica son poco "colaboradores" con los pacientes). Le explico la situación, pero parece ser que no quería molestar al doctor, porque me manda a una sala de espera que no es la del médico. Vienen dos enfermeras, yo entonces pensé que las había mandado el dermatólogo, y cuando estoy tumbada con ellas encima, me doy cuenta de que no saben ni lo que es un punto interno. Tirones, buscando el nudo, fatal ... no tenían ninguna técnica. Les digo que tenía que ver al dermatólogo y que estos puntos no se quitan de esta manera (pero ellas son las enfermeras), pero no me hacen ni caso. Ya me los cortan con malos humos y vuelvo a la recepcionista y le pregunto que por qué me ha mandado a las enfermeras si yo tenía cita con el médico. Una experiencia muy desagradable, siendo una cicatriz en la cara que te quiten esos puntos mal, implica que te quede peor cicatriz ya de por vida, salí llorando de la clínica.</t>
  </si>
  <si>
    <t>2026-04-14T06:51:16.096Z</t>
  </si>
  <si>
    <t>Alvaro Chinchilla</t>
  </si>
  <si>
    <t>Está reseñas no es para la clínica, que es un referente...ni para los auxiliares que trabajan allí.
Es para el Dr AGUSTIN MENDIOLA DE LA OSA, que nos avisa de la cancelación de la cita de la unidad del dolor 1 h antes de la consulta...
Señor Dr, la gente pide permiso en el trabajo, paga el parking de la clínica, molesta a familiares para q lo acompañen...
Esto no se hace.
No es de recibo.
Ya es la segunda vez q me pasa.
Una con el servicio de neurología y otra en la unidad del dolor.
No habrá una tercera.
Saludos</t>
  </si>
  <si>
    <t>2026-03-31T13:53:00.579Z</t>
  </si>
  <si>
    <t>Samdris</t>
  </si>
  <si>
    <t>Salvando al resto de personas del hospital que cubrieron la tarde como pudieron con buena fe, el doctor Cerrato, con dos salas de consulta de traumatología asignadas a su nombre en paralelo, entre las cuales decidió ignorar una cita desde las 4 y 20 para, después de dos horas y media atendiendo gente llegando todo el rango más tarde que la mía, y marcharse a su casa sin molestarse en comprobar su agenda. Es comprensible que haya retrasos, menos que sean más de una hora, que se marche después de semejante despropósito sin hacer una mínima revisión, es intolerable.</t>
  </si>
  <si>
    <t>2026-06-09T04:47:55.891Z</t>
  </si>
  <si>
    <t>Dori Hernandez Marciel</t>
  </si>
  <si>
    <t>Servicio de radiodiagnóstico un desastre. Me realizaron una resonancia el 23 de abril y, después de varias llamadas reclamando que subieran el informe al portal, sigo sin solución. Nadie da respuesta ni hace seguimiento. Necesito el informe para mañana lunes 11, ya que tengo cita con el rehabilitador, y la falta de gestión está siendo desesperante. Muy mala organización y atención al paciente</t>
  </si>
  <si>
    <t>2026-05-10T11:58:08.130Z</t>
  </si>
  <si>
    <t>R VW</t>
  </si>
  <si>
    <t>Mi experiencia en el servicio de dermatología de Olympia Quirón no fue satisfactoria, tanto por un seguimiento poco personalizado o inexistente (si tienes un problema, escribe a este correo), recepcionistas que no se interesan por ayudarte, y enfermeras que no deben realizar un procedimiento que no conocen.
Fui atendida previamente por el Dr. Domínguez Santás tras una intervención por carcinoma basocelular en la nariz. Como consecuencia, tengo una cicatriz bastante visible que requiere seguimiento. No entiendo bien si ya en la primera cita por teledermatología me dijeron que era un carcinoma, tardaron en quitármelo meses, después de por lo menos 4, 5 o yo qué sé cuantas consultas sin sentido más. Sé que es algo que suele crecer lentamente, pero en mi caso se veía claramente como se estaba extendiendo por la nariz muy rápido. Finalmente me lo quitan con una cirujía estupenda de Mohls, que no dudo estuvo bien hecha, pero como se había extendido, tras 4 pases me dejó una cicatriz bastante grande y complicada en medio de la cara. Después de la operación, en medio del quirófano las únicas instrucciones fueron "tiras de silicona cuando esté bien y un correo electrónico si hay algún problema". No sabía ni cuantos puntos llevaba y aún estoy esperando el informe en la página online de Vithas. Es cierto que la cirugía se me hizo en otro centro porque Olympia no la realiza.
Uno de los puntos internos no se reabsorbió correctamente y el propio doctor me indicó, cuando le escribí por correo, que acudiera para revisarlo, ya que es un tipo de punto que debe manipular personal cualificado.
Al llegar, expliqué en recepción que acudía por indicación del médico. Sin embargo, supongo que la recepcionista no quiso molestar al médico aunque le dije que me había citado él y fui dirigida, sin yo saberlo, a una sala donde me atendieron dos enfermeras, no muy interesadas en lo que les estaba contando. Me confié pensando que me había mandado con el consentimiento del doctor, pero en cuanto me tumbé y empezaron a tirar del punto, me di cuenta de que las enfermeras no sabían cómo proceder con un punto interno, lo que generó una situación incómoda y muy dolorosa. Finalmente, el procedimiento se realizó sin que previamente me valorara el dermatólogo y sinceramente, no sé si correctamente.
Posteriormente, volví a recepción para aclarar lo sucedido, pero no obtuve una explicación clara. Insistí en que tenía que verme el dermatólogo, pero ya de poco servía, ya me habían hecho el procedimiento.
En mi caso, la falta de coordinación y de atención personalizada generó una experiencia negativa, lo cual para mí fue muy desagradable, especialmente tratándose de una zona visible como la cara, donde el resultado tiene un impacto importante.</t>
  </si>
  <si>
    <t>2026-04-14T17:21:45.962Z</t>
  </si>
  <si>
    <t>Antonio Gomariz</t>
  </si>
  <si>
    <t>Experiencia nefasta. Un auténtico desastre a causa del sistema de turnos de atención. Tenía cita en dermatología. Hay una fila frente al mostrador que espero para indicar la llegada. Cuando me llega el turno,  me indican que para atenderme y registrar mi llegada tengo que sacar turno en la máquina (y tardaban casi lo mismo en registrarme que en induce como sacar turno). Lo saco y tardan y más de una hora esperando sólo para poder decir que había llegado a mi cita. Decenas de personas con una situación similar y la persona que atendía el mostrador totalmente bloqueada sin poder solucionar nada. Total, casi 2 horas perdidas.</t>
  </si>
  <si>
    <t>2026-04-14T17:35:07.549Z</t>
  </si>
  <si>
    <t>Tontcho Ponsoda Llopis</t>
  </si>
  <si>
    <t>Un despropósito llevado a su máxima plenitud. Tras haberme cambiado unilateralmente las citas más de 2 veces con la doctora Pytel... hoy tenía cita y he llegado exactamente 10 minutos tarde por culpa de una parada imprevista en la línea 10 del metro. Para mi sorpresa, no atienden cuando llegas tarde. Ninguna opción. Desde Diciembre 2025 esperando mi cita de revisión y ahora esto. Desde luego, un lugar falto de empatía hacia el usuario (no tanto hacia ellos mismos, cuando te hacen esperar 15 min o más cuando tienes cita).</t>
  </si>
  <si>
    <t>2026-03-02T10:05:54.929Z</t>
  </si>
  <si>
    <t>Pablo García Lucio</t>
  </si>
  <si>
    <t>Lo de este centro es alucinante. Para mi cita con el traumatólogo, dos horas y media en la sala de espera. Tres semanas después, para la cita con dermatología, he llegado 5 minutos tarde. Pues resulta que la doctora se había ido un minuto después de no verme a la hora de la cita exacta.
Ni una cita más en este centro. No pueden reirse así del tiempo de los demás.</t>
  </si>
  <si>
    <t>2026-04-28T16:29:52.398Z</t>
  </si>
  <si>
    <t>M Ayuso</t>
  </si>
  <si>
    <t>Añado: creen ustedes que tras 11 llamadas y 3 emails les tengo que escribir otro mail?
Es una pena que un centro con tan buena infraestructura que además gestiona citas privadas con un coste económico importante tengan un servicio de atención al paciente absolutamente caótico. Pagas la cita por adelantado pero luego te puede pasar de todo: la cita no se produce, no consigues hablar con un humano por teléfono para reclamar, cuando lo consigues toman nota y "ya te llamarán", y así varias veces. Esta no es ni la primera ni la segunda incidencia que tengo con ustedes. Creo que merezco que me llame el responsable que supervisa el departamento corporativo de operaciones de hospitales privado. Muchas gracias.</t>
  </si>
  <si>
    <t>2026-02-17T07:58:58.266Z</t>
  </si>
  <si>
    <t>Maria Concepción Roldan Paton</t>
  </si>
  <si>
    <t>Me acaba de llamar una mujer hispana de parte de mi traumatólogo de la clínica Quirón torre olimpya, para cambiarme la fecha de la cita y como le he dicho que en el día que me daba yo no podía asistir, ya que esta cita la pedí hace tres meses, se ha puesto hecha una energumena, gritando y muy mal educada. Sr Director de esta clinica, tenemos muchos profesionales que atenderían de forma educada y cortés a los clientes y pacientes. Les ruego que se lo hagan ver ya que pagamos un dineral por seguro privado y está gente no quiero que me atienda</t>
  </si>
  <si>
    <t>2026-03-10T15:26:49.509Z</t>
  </si>
  <si>
    <t>Hospital Universitario Infanta Leonor</t>
  </si>
  <si>
    <t>Av. Gran Vía del Este, 80, Villa de Vallecas, 28031 Madrid, Spain</t>
  </si>
  <si>
    <t>+34 911 91 80 00</t>
  </si>
  <si>
    <t>Aliska Popovych</t>
  </si>
  <si>
    <t>helpless and negligent attitude from the doctor whose name I have already saw here  after reading the comments - gynecologist  dra. Ester Martinez Lamela.    I came with pain in the uterine area, I could hardly walk, she asked why I came to them and not to my doctor (and I came because it was 1 am and it was the nearest hospital at that time). She met me extremely unfriendly, zero empathy and desire to help and  find out what was wrong with me. She prescribed me paracetamol and said "hasta luego" - I would really like to answer "hasta nunca, espero que no nos crucemos jamas". This person is not worthy of the title she holds.  The assistants at that time were just waiting for me to come out to continue their chill time and gossip behind my back. I will tell you right away that my Spanish is at the B2 level, in addition, I speak 5 other languages, so I am writing this in English, I hope that doctor Ester Lamela also knows a few words in English and will no longer look at patients with B2 level who came asking  for help as at the trash. I felt extremely discriminated against.  I can't say that they were busy because at 1 am I was the only person at the reception. They were blaming me that I came with my pain - Disgusting people.</t>
  </si>
  <si>
    <t>2024-09-04T13:25:49.068Z</t>
  </si>
  <si>
    <t>Jangal Bangal</t>
  </si>
  <si>
    <t>This is the kind of hospital where you come in with the common cold and leave in a casket. What an absolute joke of a hospital.</t>
  </si>
  <si>
    <t>2023-02-11T12:25:01.090Z</t>
  </si>
  <si>
    <t>Chaudhry Rabnawaz</t>
  </si>
  <si>
    <t>This Hospital night service very slow componder boy also very slow</t>
  </si>
  <si>
    <t>2022-12-10T04:43:53.820Z</t>
  </si>
  <si>
    <t>Alejandro Silva</t>
  </si>
  <si>
    <t>VERYYYYY SLOW!! 👎🏻👎🏻👎🏻👎🏻👎🏻</t>
  </si>
  <si>
    <t>2025-12-29T12:25:28.975Z</t>
  </si>
  <si>
    <t>C. A. A</t>
  </si>
  <si>
    <t>Terrible 😑</t>
  </si>
  <si>
    <t>2026-01-15T14:58:36.054Z</t>
  </si>
  <si>
    <t>alexia</t>
  </si>
  <si>
    <t>El servicio de Urgencias es un auténtico desastre, no atienden acorde a las necesidades del paciente. Llevo desde las 9 de la Noche, son las 2:37 AM. Llevo con malestar en la espalda que se me pasó al estómago. Una doctora INCOMPETENTE, me hace tener una analítica de orina, pero comete el grave error de, según los doctores que me acaban de explicar, "olvidarse" de meter una analítica de sangre al sistema informático, que lo tuvo que ver otro médico por que la doctora se le olvidó meterlo. Me parece una broma de muy mal gusto de los doctores, por que llevar una como 6 horas en Urgencias, que una doctora se "equivoque" de las pruebas de una paciente, y que al final me digan que es una disfunción renal. ES UN CHISTE!</t>
  </si>
  <si>
    <t>2026-03-02T01:38:50.004Z</t>
  </si>
  <si>
    <t>AB I</t>
  </si>
  <si>
    <t>A principios de este 2026 puse una demanda contra el INSS por todo el sufrimiento que este hospital, muy particularmente, y otros dispositivos de la sanidad pública, me están provocando desde hace diez años. No solo se han equivocado en el diagnóstico, sino que un gracioso en prácticas puso en mi historia que consumo drogas y alcohol, a saber por qué, y desde entonces he tenido que aguantar que los médicos me griten "¿Qué has consumido? ¿qué has consumidoooo?", aunque vaya por un dolor de cervicales. Tardé dos años y una reclamación a la AEPD en conseguir que me enviaran mi historia completa para averiguar quién rayos había puesto esa burrada y exigir que lo eliminaran. Lo que no he logrado es que me den una explicación de por qué dos miembros de seguridad me agredieron, arrancándome los puntos de un brazo, me ataron a una silla y una psiquiatra me inyectó una sustancia desconocida, dándome el alta inmediatamente después sin ningún parte, y, por supuesto, sin que yo opusiera ninguna resistencia en ningún momento. Me había llevado el SAMUR y sí tengo la prueba de la ambulancia de haberme dejado allí, aunque curiosamente no hay ningún registro de los malos tratos recibidos, ni de que salí haciendo eses por la medicación innecesaria con la que me drogaron.</t>
  </si>
  <si>
    <t>2026-06-16T08:47:05.020Z</t>
  </si>
  <si>
    <t>A. L.</t>
  </si>
  <si>
    <t>Volvemos hoy 30 de abril a cardiología!! Más de una hora y medio esperando en la sala de espera!! He intentado acercarme a las auxiliares con la única intención de comprobar que todo está dentro de la normalidad pero no me han dado ni la opción de poder hablar!! Un grito (no puedo atenderte porque mira como estoy) ha sido mi recibimiento! Entiendo que tienen mucho trabajo pero la empatía cuando a ti te están tratando con todo el respeto del mundo también es importante!
La zona de analíticas estaba completamente saturada. Había más de 70 personas por delante, cada una con sus acompañantes, y la espera superó la hora en una sala abarrotada. La gestión de este hospital deja mucho que desear. Incluso para solicitar un simple justificante como acompañante tuve que esperar una hora adicional. En total, dos horas perdidas para una analítica que en un centro de salud no lleva más de 15 minutos. Una experiencia realmente frustrante.</t>
  </si>
  <si>
    <t>2026-04-30T15:04:53.017Z</t>
  </si>
  <si>
    <t>ludwig ivanov</t>
  </si>
  <si>
    <t>Me citan en neumología dos horas y media esperando, me dice la enfermera que baje a pedir cita 56 personas delante una cabina, en atención al cliente me suelta qué hay huelga dé médicos le digo pues qué avisen y me dice qué no tienen porqué avisar, echando la culpa a los médicos, tengo discapacidad y me vi desamparado.
Muy inhumano atención al cliente un señor con gafas muy altivo qué ojalá enferme su familia y les toque un hospital lejano para no colarlos, muy pésimo,</t>
  </si>
  <si>
    <t>2025-10-03T12:46:33.831Z</t>
  </si>
  <si>
    <t>Laura A</t>
  </si>
  <si>
    <t>Los de citaciones son una vergüenza. Solicitamos la cita a las 13:45 para no tener que pedir permiso en el trabajo 3 meses antes. Resulta que 3 días antes de la cita recibo un SMS con que la cita es a las 13:15, sin que nadie me haya llamado para informarme del cambio, ni para preguntar nada. Toda la mañana llamando al número de citaciones y no te coge el teléfono ni dios. Al final me ha tocado ir por el hospital y me dicen que el cambio se hizo un mes antes de la cita y que no tienen por qué comunicarte nada. Estupendo! Solo los médicos tienen agenda, el resto tenemos que tener total disponibilidad para de ellos cuando sea. Llamo de nuevo a citaciones y me dicen que no ha habido ningún cambio de hora, cuando yo tengo los dos volantes que confirman un cambio y que no pueden hacer nada. Que falta de profesionalidad y de empatía.</t>
  </si>
  <si>
    <t>2026-05-26T15:00:14.844Z</t>
  </si>
  <si>
    <t>Rosa Ines Cachago</t>
  </si>
  <si>
    <t>Le doy una estrella aunque se merece - 10 estrellas. Hace unos días acudi al servicio de urgencias  como acompañante. Y realmente fue una experiencia DESASTROSAS NO POR EL PERSONAL QUE REALMENTE ES MUY PEOFESIONAL. Pero   el riesgo de acudir a urgencias donde el aseo brilla por su ausencia.  El piso sucio lleno de papeles. Los baños un foco de infección.  Peor que las salas de espera.  La sala de espera un sitio donde el paciente se siente incomodo por el poco espacio entre  sillas y  pasillos. Por donde es imposible ir con silla de ruedas.  La falta de política para que la gente permanezca en silencio. Es la primera vez en mis años. Que veo que en un hospital que se dice uno de los mejores de Madrid. Permita que la gente  COMA. SE RÍA. GRITE. HABLE POR TELÉFONO  GRITANDO E INSULTANDO. REALMENTE ME SENTI COMO EN UNA FERIA  DE LAS PEORES.  COMO PROTEGE  AL PACIENTE QUE VA A URGENCIAS. SI SU SALUD SE VE EN PELIGRO CON TODO ESTE DESASEO Y DESORDEN.</t>
  </si>
  <si>
    <t>2026-04-09T20:23:51.951Z</t>
  </si>
  <si>
    <t>Jennifer Placeres</t>
  </si>
  <si>
    <t>Servicio de urgencias fatal! 4 horas esperando en urgencias solo dos habitaciones de consultas y una de triaje. Gente en silla de ruedas. Gente en muletas . Las recepcionista muy mal trato con los pacientes. Mal todo la verdad al final la persona que acompañé decidió irse porque no aguantaba la dolencia con la que fue. Salud pública gratuita en España ? A que costo…</t>
  </si>
  <si>
    <t>2026-06-27T22:31:18.657Z</t>
  </si>
  <si>
    <t>L M</t>
  </si>
  <si>
    <t>El veterinatio trata a sus pacientes mucho mejor que en este horror de hospital
Mi experiencia con el Hospital Universitario Infanta Leonor ha sido extremadamente decepcionante. Desde el inicio del embarazo de mi esposa, hemos recibido un trato que considero inaceptable y muy poco profesional.
No hay una sola cita o interacción que podamos destacar de forma positiva. Los problemas han estado presentes en todos los niveles: recepción, atención telefónica, consultas médicas y seguimiento del embarazo. El personal suele mostrarse distante, poco empático e incluso grosero. En varias ocasiones no se nos ha permitido hacer preguntas o recibir explicaciones claras cuando teníamos dudas o preocupaciones.
Como futuro padre, esta situación nos genera una gran ansiedad e inseguridad ante el proceso del parto. Deberíamos sentir confianza y apoyo en un momento tan importante, pero lamentablemente ocurre todo lo contrario.
Además, soy enfermero y conozco la importancia de una atención humana, profesional y respetuosa. Por ello me resulta aún más impactante el nivel de falta de profesionalidad que hemos encontrado. La comunicación ha sido deficiente y el trato recibido, en muchas ocasiones, deshumanizado.
Sinceramente, me avergüenza tener que acudir a este hospital. Esperamos que la dirección tome medidas para mejorar la calidad de la atención y el trato hacia los pacientes, especialmente hacia las mujeres embarazadas y sus familias.
Y ni hablando de la receptionista o telefonista que son extremamente antisocial faltando el respeto en cual quier momento,
Aca trabajan personas no profesional</t>
  </si>
  <si>
    <t>2026-06-02T23:12:08.321Z</t>
  </si>
  <si>
    <t>ANCHOO 017</t>
  </si>
  <si>
    <t>1h esperando en radiología. Nos pone sala 3 satélite d . Llegamos a las 11:15 la cita es a las 11:30. Ya son las 12:15 y todavia no nos an llamado.. y resulta que ahora despues nos llaman a lo lejos por otra sala de espera 4 cuando en el papel pone 3. Más de 1h esperando y poca gente..</t>
  </si>
  <si>
    <t>2026-01-12T11:08:57.822Z</t>
  </si>
  <si>
    <t>Fabiola M.</t>
  </si>
  <si>
    <t>Hoy me expreso por este medio para hacer un denuncia publica el Dr xxxx quien el dia de hoy 15/03/26 fue el encargado de atenderme en urgencias. Luego de darle a conocer mi situación, me dijo que me realizaría unas analiticas y luego el iba a valorar si tenia que verme otro especialista!!
Ya que fue la solicitud que hice al momento de ingresar por necesidad de ajuste de tratamiento. Luego de eso solo pude ver la cara de un enfermero quien fue el único que estuvo pendiente de como iba mi evolución y de como me sentía? Ya que tenia la glucemia a 460. Luego de ponerme 2 sueros y inyectarme insulina el enfermero logró bajar mis niveles de glucemia. Y desde ese momento el doctor se nego a volver a atenderme.
Este enfermero junto a otra enfermera fueron en varias oportunidades a pedirle al doctor que saliera a decirme cuales serían los pasos a seguir si me daría el alta o si me iba a ver el especialista.
Me manifestaban: " El dice que sale en 5 minutos"  y en medio de mi agobio por las patologías que tengo ellos intentaban que yo me sintiera bien y el Doctor se negaba a salir. En ese momento decido retirarme del hospital de manera voluntaria ya que veia la negativa y la falta de empatia, a demás la glucemia seguía bajando y tenia miedo de una hipoglucemia después de tantas horas sin comer. Decido retirarme y procedo a colocar una hoja de reclamación y explicar mi caso, me dicen que debo escribir el nombre del doctor, vuelvo a entrar en esta oportunidad para pedircelo a el porque no me lo querían dar por razones de privacidad, entro al salón de medicos y él esta con los cascos puesto sin prestarme atención y sin darle importancia a mi estado de salud, se niega a darme el informe  médico después de 5 horas de espera. Me apunta en un papel su nombre con toda la soberbia del mundo, porque le digo que voy a poner la reclamación.
Señores soy paciente en este hospital hace mucho tiempo y siempre he hablado de la calidad de atención que se me ha brindado, en este caso no fue asi, este comentario es un grito de ayuda, en mi nombre y en nombre de todas las personas que acuden en busca de atención, esto no es justo !! estoy devastada, llena de impotencia y mucha tristeza, nadie se enferma por gusto. A las autoridades del Hospital tomen medidas en el asunto, que los pacientes sean la prioridad, y que este tipo de Medicos tomen conciencia.  Nadie va a un Hospital por gusto. Entre a las 14.32 y salí a las 19.35, hay testigos y lo pueden mirar por las cámaras esta todo lo que sucedió y pueden ver si ese doctor se acerco a atenderme . Hoy soy yo mañana pueden ser ustedes o algun familiar, no dejen que el Sistema de Salud Pública Español pionero en el mundo sea empañado por un Profesional como este, que estudiaron muchos libros pero que no tiene empatia ni humanidad alguna.</t>
  </si>
  <si>
    <t>2026-03-16T06:39:17.624Z</t>
  </si>
  <si>
    <t>Luis Enrique Jaramillo</t>
  </si>
  <si>
    <t>El 2023 y el 2024 recibía en consulta una muy mala traumatóloga, me lo contaba mi esposa que por una caída sufrió la fractura del cúbito y radio de la muñeca. En la primera cita en junio 2025 que pude acudir con ella vi que era verdad, inmediato pedí el cambio de médico, con suerte el cambio fue bueno inmediato pidió que le operen para rectificar fallos de la cirugía y retirar los tornillos, placa de platino. En agosto recibió una llamada, me paso a mi pero el hombre no se identificó dijo que la podían operar en el hospital de la Cruz Roja pensé que a pesar de tener nacionalidad española la discriminaban por ser su origen Bolivia, y que trabajaba para el hospital a que la querían enviar. Le dije que queríamos continuar en el Infanta Leonor porque nos interesaba que su recuperación le vea quien la ha operado. Ahora indican que tendrá que esperar 230 días es decir hasta alrededor del 10 de julio 2026 por no haber aceptado la derivación. Mientras tanto no puede buscar empleo porque no tiene suficiente fuerza en su mano, con dolor al contacto de los tornillos que se siente al tacto. Por eso pregunto a quien lea esto cuantas estrellas darían al Hospital , nosotros aguardando para que llegue el 10 de julio y ojalá sea así porque no tenemos ninguna comunicación ni escrita ni verbal que tendrá su cirugía…</t>
  </si>
  <si>
    <t>2026-04-22T22:45:05.214Z</t>
  </si>
  <si>
    <t>dionis vinicius</t>
  </si>
  <si>
    <t>Pésima atención y falta de profesionalismo. Tras mas de 29 horas de contracciones cada 5 minutos que empezo alas 5 de la mañana del viernes 20 de febrero luego quedo ingresada el mismo viernes alas  13:42 de la tarde nos dijeron que mi mujer iva tener el bebe que si pasado 24 horas no aumentar las contracciones le ivan a inducir el parto luego,  la doctora que le dio de alta ami mujer al dia siguiente el dia 21 de fabrero sabado por la mañana al darle alta ami mujer solo nos dijo lo obvio (volver si son más fuertes las contracciones o si se rompe la bolsa), y me dice que volvamos cuantas veces quiera al hospital pero estavamos de paso en madrid y de nuestra casa donde vivimos al hospital mas cercano esta a 1 hora y 20 minutos no nos podemos ir y volver cada rato a mas de 100 km por cualquier dolor. Su trato fue tan agresivo asi ami, que mi mujer embarazada empezo a llorar y al recojer sus cosas en la habitacion le dio un crise de lloro, casi tengo que llamar alas infermeras, todo esto por el trato que ella me vio recibir, . Tengo toda la conversación grabada y presentaré una queja formal ante el Colegio de Médicos, por su faltra de professionalidad y el trato. yo lo unico que queria saber es que si mi mujer sigue com contracciones leves cada 5 minutos y no son fuertes durante mas mas tiempo o dias, si tenemos que volver al hospital o no que teniamos que hacer ? estabamos preocupados con tantas contracciones y que nos dijero que iva tener el bebe y luego le dan el alta, aver si estaba de parto y por lo que sea la contracciones no eran fuertes suficientes yo que se, estabamos preocupados com nuestro hijo, y me dicen que no lo saben que no tienem como saber, que yo vuelva cuantas veces yo quiera al hospital. se le veia muy molesta comigo nose por que, no la e tratado mal, no me e dirijido mal asi a ella. menos mal que havia un señora muy amable y que nos trato muy bien.  deberia aprender de la señora como se trata alas personas por que solo estavamos preocupados por nuestro hijo y nada mas. total que de tanto insistir sobre que teniamos que hacer, si mi mujer sigue con las contracciones, nos dio cita para otro dia, pero que a este hospital no volvemos a poner los pies. por que aparte de esto que paso, en urgencias al ingressar la jovencita que nos atendio nos dijo una cosa que creo que sobra. luego en la sala de espera del paritorio 2 veces me dicen que no puedo estar alli, me echan para la otra sala fuera. pero es que luego la pareja de otras mujeres que las estaban acompañando en la sala de espera del paritorio.</t>
  </si>
  <si>
    <t>2026-02-23T20:56:14.831Z</t>
  </si>
  <si>
    <t>Joseph Briceño</t>
  </si>
  <si>
    <t>Hace dos días acudí a emergencias por dolor abdominal, debido a que sufro de gastritis, o al menos eso creo, ya que mi especialista lleva siete meses sin verme. Por este motivo fui a emergencias para que me ayudaran a aliviar este dolor intenso.
El primer día solo me dieron unas pastillas para el dolor de estómago que no funcionaron; al tratarse de gastritis, los síntomas incluso empeoraron. Al acudir por segunda vez y preguntar a la doctora si entregaban algún tipo de justificante para presentarlo a mi jefe —puesto que no tenía claro cómo justificar en mi trabajo que había ido al médico y que llegué tarde por encontrarme mal—, la doctora me gritó y me dijo que si quería la baja o quería ser atendido.
Cuando intenté explicarle la situación, solo me insultó y me dijo que ella ya sabía por qué venía. Finalmente, únicamente me administró medicación por vía intravenosa para el dolor de estómago y no me realizó ninguna prueba, como una ecografía, para comprobar si podía tratarse de algo más serio, como una úlcera, a pesar de que llevaba días vomitando.
Es una pena que, con tantas personas queriendo estudiar Medicina, la doctora Judit Aranda Salom se dedique a insultar a los pacientes y a hacer especulaciones indebidas. A nosotros no nos descuentan “chapas” de la Seguridad Social: nos descuentan dinero, y dejar de cobrar 50 € por ir al médico para acabar encontrándome peor es indignante.
Por favor, más profesionalidad, y recuerden que estudiar Medicina es pasar la carrera, no que la carrera les pase a ustedes.</t>
  </si>
  <si>
    <t>2025-12-20T23:51:50.381Z</t>
  </si>
  <si>
    <t>Manuel Núñez García</t>
  </si>
  <si>
    <t>Mi reseña va por las MAQUINAS DE AUTOVENDING de la empresa MEDITERRANEA
El día 10/4/26 me encontraba realizandole unas pruebas de alergía a mi hija,fuí a tomarme un café en una de las máquinas del Hospital Infanta Leonor,en concreto,la maquina 10150.
No solo no me dió el café sino que se quedó el efectivo,vi un cartel en la misma máquina donde ponía la manera de reclamar,hice la reclamación co código ME-2026-002648.
He reclamado el día 14/4/26,me dijeron que reclamaban mi incidencia.
Reclamé nuevamente el 21/4/26,me dijeron que reclamaban la incidencia al gestor,el cual se pondría en contacto conmigo.
Ante la falta de comunicación por nadie de esta empresa,volví a reclamar el día 4/5/26 y me contestaron que reclamaban la incidencia de nuevo con el gestor.
La cosa es sencilla,al sacar la recaudación de ese dia debe descuadrar los cafes que da la maquina con la recaudacion,1´2€ son míos (si es que no hay mas de otras personas) y llevo 1 mes reclamándolos.
QUE NADIE USE SUS MÁQUINAS!</t>
  </si>
  <si>
    <t>2026-05-05T18:51:17.482Z</t>
  </si>
  <si>
    <t>Johan Noguera</t>
  </si>
  <si>
    <t>Es pésima la atención por parte de admisión, donde es mejor llevar al amigo del amigo y hacerle pasar, pacientes que fueron atendidos pero a la misma vez despachados con una simple gasa por la parte de afuera de su short, yo esperé 3 horas y no fui atendido procedí a retirarme ya que con un proceso alérgico y una incomodidad no me quedaría ahí al ver como había una mala administración en el  área de urgencia</t>
  </si>
  <si>
    <t>2026-06-28T08:41:58.627Z</t>
  </si>
  <si>
    <t>Centro Médico AXA Les Corts</t>
  </si>
  <si>
    <t>Carrer de Can Bruixa, 17, Loc, Les Corts, 08028 Barcelona, Spain</t>
  </si>
  <si>
    <t>+34 933 63 57 01</t>
  </si>
  <si>
    <t>Muhammad Hussain</t>
  </si>
  <si>
    <t>it was a bad experience. i was charged higher  than other customers without any reason
i was told that i will get results within 1-4 hours but 8 hours has been passed and i haven't received  any test results yet. no one is answering the phone call aswell</t>
  </si>
  <si>
    <t>2021-09-07T18:45:28.068Z</t>
  </si>
  <si>
    <t>Marianna -Maria Ioanna- Kotopouli</t>
  </si>
  <si>
    <t>Don’t go to the dentist or hygienist here, they are either not knowledgeable professionals or they are a scam. I went for my annual dental cleaning and the hygienist told me that I have two cavities, booked me with the dentist and then both of them they could not find the cavities. They took x-rays and they were looking into my mouth for long time, like they did not know how to read the x-ray or they did not know their job. Eventually the dentist said that he found two cavities but in a totally different spot than what the hygienist had said. And when I said if they are sure as I do not have any issues they got a bit ironic, like what are you expecting to get pain to come? And they booked me for 180€ procedure. To be sure I went to another private dentist who examined me thoroughly and told me that nothing is wrong with me. Not sure about the other specialists in the centre but never go to the dentist there. A friend who did a cavity filling there, also told me that he was not satisfied and had two go back 3 times to fix the filling</t>
  </si>
  <si>
    <t>2026-07-12T14:14:55.214Z</t>
  </si>
  <si>
    <t>Burbuja06</t>
  </si>
  <si>
    <t>Bastante mala experiencia.
Poca empatía, se nota que quieren ganar dinero y ir rápido, mis citas de dermatología duraban 5 minutos y me pedia que pidiera cita cada 3 meses sabiendo que estaba con dercutane y se deberían de hacer controles mas seguidos, al igual que las analíticas, que se las tenia que pedir yo a mi dermatologo. Bastante pesimo servicio.</t>
  </si>
  <si>
    <t>2026-02-04T22:34:08.710Z</t>
  </si>
  <si>
    <t>MERCEDES PAZ MORILLAS EXPOSITO</t>
  </si>
  <si>
    <t>Tenia una urgència i el centre està al quadre Medic de Dkv muface. Vaig insisitir que em confirmessin que atenien a usuaris de muface i m’ho van confirmar. Em van donar hora i vaig demanar permís a la feina. Quan hi vaig arribar la Tarja no va ser acceptada pel sistema perquè NO ATENEN A DKV MUFACE.
M’he visitat per urgencies a un altre centre hospitalari…</t>
  </si>
  <si>
    <t>2024-01-09T12:48:50.937Z</t>
  </si>
  <si>
    <t>Albert N. Caballer</t>
  </si>
  <si>
    <t>En mitad del tratamiento de rehabilitación me echaron. Mi fisio dejó el trabajo y desde el mostrador alegaron que no les quedaban horas disponibles y que me tenía que buscar otro centro médico. Y mira que hace relativamente poco que han abierto. Lamentable.</t>
  </si>
  <si>
    <t>2023-06-09T10:09:28.281Z</t>
  </si>
  <si>
    <t>Itsarakuya Matsume</t>
  </si>
  <si>
    <t>Pésimo, fui a hacerme un TAR (Test rápido de antígenos) y el chico que me lo hizo, me lo hizo MAL.
Me hizo daño en el primer orificio, le avisé, y en el segundo volvió a hacerme MÁS DAÑO TODAVÍA. Estuve SUPURANDO todo el día líquido transparente por el segundo orificio.
Me llega a salir sangre y pongo una denuncia formal.
No vayáis a esta clínica si no queréis sufrir, literalmente.</t>
  </si>
  <si>
    <t>2021-12-23T16:05:53.887Z</t>
  </si>
  <si>
    <t>crea glue</t>
  </si>
  <si>
    <t>Solo he ido una vez a ver el tromatologo Carlos G y nunca volveré.  Ni sé si tiene título... Un desastre. No tiene idea de su trabajo.</t>
  </si>
  <si>
    <t>2025-09-04T16:59:39.009Z</t>
  </si>
  <si>
    <t>Moritz Keller</t>
  </si>
  <si>
    <t>Muy impuntuales</t>
  </si>
  <si>
    <t>2025-11-27T17:24:29.242Z</t>
  </si>
  <si>
    <t>Cory Alvarez</t>
  </si>
  <si>
    <t>2026-08-04T11:49:43.558Z</t>
  </si>
  <si>
    <t>gines sanchez</t>
  </si>
  <si>
    <t>Podologia , siento decirlo dos veces me ha operado en una uña encarnada y vuelve a crecer la uña , muy mal mal mal parece que solo quiere que volvamos o que el material esta caducado para volver y volver .MUY MAL</t>
  </si>
  <si>
    <t>2026-08-04T11:47:28.902Z</t>
  </si>
  <si>
    <t>Elizabeth Lozano</t>
  </si>
  <si>
    <t>Mi amiga estuvo antes de ayer con un dolor terrible de estómago. De varios días, y el doctor fue incapaz de levantarse de la silla para poder palparle o hacerle un mínimo de chequeo. Lo único que le recomendó fue tomar ALMAX!!! Al día siguiente mi amiga acabó de urgencias en dexeus con pruebas, análisis, etc... esto es de juzgado de guardia. NO VAYÁIS POR FAVOR</t>
  </si>
  <si>
    <t>2026-07-03T09:56:22.810Z</t>
  </si>
  <si>
    <t>Maribel Garcia Molina</t>
  </si>
  <si>
    <t>2025-07-21T16:37:12.418Z</t>
  </si>
  <si>
    <t>sergio rives</t>
  </si>
  <si>
    <t>Las cámaras de baja presión no cumplen los criterios de eficacia y seguridad para hacer un tratamiento médico. Estas cámaras son de 1.4ata. Como mínimo han de ser de 1.8ata para un tratamiento efectivo. No os dejéis engañar</t>
  </si>
  <si>
    <t>2022-08-26T07:34:35.273Z</t>
  </si>
  <si>
    <t>Hospital del Mar</t>
  </si>
  <si>
    <t>Pg. Marítim de la Barceloneta, Ciutat Vella, 08003 Barcelona, Spain</t>
  </si>
  <si>
    <t>+34 932 48 30 00</t>
  </si>
  <si>
    <t>SJC</t>
  </si>
  <si>
    <t>Two hours of waiting and I left. This place is a joke. Doctors and nurses stand in the corridor, talking loudly, without respect for patients. Lack of manners and low class sort of staff. You sit in one waiting room before you get vitals. Then, they send you to a second waiting room, where they FORGET about you. The hallways absolutely STINK of cigarette smoke, although it is a ”smoke free” place. Parking is approx. 4€ per hour. It’s all a scam. Avoid this place!</t>
  </si>
  <si>
    <t>2022-12-02T00:06:04.326Z</t>
  </si>
  <si>
    <t>Masooma zahra</t>
  </si>
  <si>
    <t>I'm not giving them even 1 star.They asked for waiting so long.I came here with my brother who have a severe stomach pain.But for last 9 hours we are just waiting.The staff is laughing and gossiping in corridor.They don't care about patients. It's 4:00 Am and i have an exam tomorrow I told them as well.So pathetic service. I don't understand what they want.</t>
  </si>
  <si>
    <t>2025-12-05T03:02:33.651Z</t>
  </si>
  <si>
    <t>Angelique Verspaget</t>
  </si>
  <si>
    <t>Awful waiting time. We came for an urgent photo to see if my friends foot was broken or not. They took a picture and made us wait 5 hours and still counting in the waiting room. When asked why it’s taking so long they answered in an annoyed manner “it’s normal”
If you need a checkup on your holiday please go for a different hospital. Do definitely not recommend going to this hospital if you have a choice.</t>
  </si>
  <si>
    <t>2023-01-24T18:26:06.748Z</t>
  </si>
  <si>
    <t>Yu Sheng Teo</t>
  </si>
  <si>
    <t>Extremely racist front desk staff at the internal medicine / infectious diseases clinic (blonde woman). I’ve been to this clinic 3-4 times, and every single time after a consult with my doctor, she would make me wait for at least 30-45 minutes for the letter that contains my next appointment details. The thing is, this letter is pre-printed and there’s absolutely no reason to make any patient wait for it. But she does that to me without fail every single time I’m at the clinic, and she doesn’t do it to anyone else (patients who arrive later than me would get their letters without wait time). I’m always the only Asian person at the clinic when I’m there, and I know racism when I experience it. I also saw her making a face (🥴) when a female patient with a nasal cannula walked past the front desk, so she definitely has some professionalism issue there.
I talked to my doctor about this and she said it’s just a misunderstanding, i.e. the blonde woman wasn’t racist, just incompetent at her job (every single time, and coincidentally only to me). I didn’t buy that explanation. My doctor suggested I could try to avoid that front desk staff the next time, which in hindsight felt like I was being told to change my behaviour for something the staff did to me. Bienvenido a España.</t>
  </si>
  <si>
    <t>2025-09-30T10:31:20.114Z</t>
  </si>
  <si>
    <t>Aya Noreldin</t>
  </si>
  <si>
    <t>I am writing to formally express my deep concern and frustration with the emergency services I received at this hospital. Recently, I spent over six hours waiting to be attended in the emergency room, despite experiencing a situation that warranted immediate medical attention. During this time, I experienced significant delays in care, which left me feeling neglected and dehumanized.
It is unacceptable for any patient to endure such prolonged waiting periods, especially when facing an emergency or severe health condition. The lack of timely care not only compromises patient safety but also highlights the hospital’s inability to provide essential medical services.
I strongly urge the hospital management to check the emergency room protocols and ensure that patients, particularly those in critical need of care, are treated with the urgency and respect they deserve. The potential consequences of such delays are dire, and it is essential that hospital takes immediate steps to prevent this from occurring in the future.
In general, I highly recommend any patient in critical condition to avoid this hospital!!</t>
  </si>
  <si>
    <t>2024-12-18T20:15:39.607Z</t>
  </si>
  <si>
    <t>Mariia Saakiants</t>
  </si>
  <si>
    <t>Horrible service! We came to pediatrics emergency room with 1 small emergency question to consult that would take no more than 5 minutes and waited for 1.5 hours. We would wait more, but we have decided to leave. There were 2 people coming after us and they were prioritized and even left go after getting service. We left without an answer and help. Every time we asked how much time we need to wait, and if there are other patients-  there was no clear answer or estimated time, just an answer: we’ll see… meanwhile there were few medical representatives not 1 doctor, who could help, they have decided to talk to each other, inhale the gloves to give kids, instead of giving help and service.
Overall, the hospital is very clean, location is great and infrastructure is nice, but awaiting time, prioritization method and staff who is prioritizing chats over consulting is awful!</t>
  </si>
  <si>
    <t>2025-03-12T20:51:23.542Z</t>
  </si>
  <si>
    <t>biggi bieltvedt</t>
  </si>
  <si>
    <t>told me to wait for 3 hours, waited 7, asked again and they said it might take another 2 hours.
had to leave, I recommend private clinics.
Front desk very rude unfourtunately.</t>
  </si>
  <si>
    <t>2025-12-05T23:09:36.861Z</t>
  </si>
  <si>
    <t>J B</t>
  </si>
  <si>
    <t>I had a small cut in my knee and asked for a plaster at the front desk. They didnt have any, so they told me to go the emergency room. Even there they couldnt give me a simple plaster. I would have to go home first and pick up my health card. I asked if I could just pay money to buy a plaster but this too was impossible. What a horribly bureaucratic hospital.
I went to a coffee stand nearby and they gave me the plaster. It's ridiculous that they can do more than an entire hospital.</t>
  </si>
  <si>
    <t>2025-06-01T20:38:33.030Z</t>
  </si>
  <si>
    <t>Juliana Mendez</t>
  </si>
  <si>
    <t>9 hours (!)  in the waiting area for two small tests even though I had severe pain after a surgery which caused me to break down crying on their floor unable to speak. Nevertheless they leveled me “moderate pain”, gave me pain medication only an hour later. only inexperienced doctor will see you and only if you insist many times to see a doc - in 9 hours 3 different ultra junior doctors came to see me. None of them cared to see medical reports from my previous surgery, no experienced doctor looked a single time at scans. Sent me home saying excruciating pain is normal after surgery. Absolutely not if you speak to experienced surgeons and I’m back under observation suspected kidney stones (!) which they missed because these juniors are unable to read CT scans. Staff including doctors was standing around. Horror place, don’t come here if you care for your health, these people are a risk.</t>
  </si>
  <si>
    <t>2024-10-16T21:02:41.617Z</t>
  </si>
  <si>
    <t>G J</t>
  </si>
  <si>
    <t>One of my worst experiences at a hospital I’ve ever had. Staff is unprofessional and rude. They don’t follow standard safety procedures. Needle with blood after my IV was thrown in a regular trash can / not a biohazard safe one. There was no ice available at all in the hospital…there was no bottled water available until 9:30am, which is when the breakfast arrived. Doctor’s would not wear gloves at times. They had no flashlights available and would use their iPhone cameras to check my throat. It was honestly embarrassing how poor the standards at this hospital were.</t>
  </si>
  <si>
    <t>2024-03-21T16:48:37.642Z</t>
  </si>
  <si>
    <t>Amie Boakye</t>
  </si>
  <si>
    <t>This is one of the worst hospitals I have ever been seen at. I had an allergic reaction and was going into anaphylaxis. They refused to treat before paying a deposit and my friend had to $500 deposit meanwhile my throat was closing and I was close to death. The staff was extremely rude. After being treated and waking up from essentially passing out and my friend paying I then called my insurance. That call which I knew was already going to be approved took 50 minutes. I would have been dead on the floor if it weren’t for my friend. He proceed to then start talking about me in spanish not knowing I understood every word he said. Don’t go here if you can help it. Genuinely one of the worst experiences I have ever had.</t>
  </si>
  <si>
    <t>2024-08-03T18:20:59.143Z</t>
  </si>
  <si>
    <t>Asdi Saab</t>
  </si>
  <si>
    <t>Hello Hospital Del Mar Management Hospital Emergency Staff especially Dr vancells, he is bad behverd he speaks very badly and fearlessly and other staff please change them and gived warining🙏🏻</t>
  </si>
  <si>
    <t>2026-01-17T19:50:14.308Z</t>
  </si>
  <si>
    <t>junyu chen</t>
  </si>
  <si>
    <t>I was injured yesterday evening while exercising in the park, resulting in a dislocated shoulder. Because the pain was unbearable, I asked people around me to call an ambulance, but I don't know what hospital I will go to because my shoulder is just dislocated, no bleeding, no other complications! But when I got to the hospital, instead of receiving treatment immediately, I was asked to wait at least 20 minutes! Then the doctor helped me reset and was taken to take x-rays. I was asked to pay after the end, but the relevant personnel told me that it should be about 500 Euros. I have an adeslas insurance card, but this is my first time seeing a doctor. I don’t know where I was taken, but I think 500 Euros is very expensive , Mainly you did such behavior without my knowledge. As a result, when I got home, I was notified that I needed to pay 918 euros! Are you kidding me? I didn’t have an operation, I didn’t have a blood transfusion, I was just taken to a hospital far away from the stadium in an ambulance! There are many hospitals around! And it's just a simple arm reset, 918 Euro I don't know why it's so expensive! I'm skeptical about the price of the hospital, I don't know if it's a deception for a foreigner coming to Spain. My insurance says it can't be used, but why doesn't it tell me when the ambulance can't? Tell me the relative price before treatment?I will not pay this bill for now because it is too exaggerated and I have not been well served during treatment. I was in excruciating pain in a wheelchair and the doctors and nurses kept me waiting. Only when paying, the staff vaguely asked me to fill in the form. I asked him if I could use the medical insurance, and he said no. Ask him how much the treatment price is, he said it should be 500 euros, why a regular hospital does not disclose the price, and does not let patients know before treatment, this is unreasonable in any country. Do you treat patients as people who need treatment, or as a bunch of idiots who can suck blood?</t>
  </si>
  <si>
    <t>2023-07-31T02:22:07.897Z</t>
  </si>
  <si>
    <t>alara yurtoglu</t>
  </si>
  <si>
    <t>Worst hospital experience of my life. I waited 7 hours in the hall with my broken nose still bleeding before I got put in a room.  16 hours later, I’m still at the hospital and still have not been seen by a doctor. If you ask for something they say they’ll bring it but no one does. They do not care for you. Please do not come here, save yourself.</t>
  </si>
  <si>
    <t>2024-09-27T06:59:40.213Z</t>
  </si>
  <si>
    <t>Felipe Hufnagel</t>
  </si>
  <si>
    <t>Just terrible, I took my friend in the middle of the night she was unconscious and we waited for hours, till the doctor came by, and then it took ages for them to take care of her. She was vomiting for a long time, there was no room available, we stayed at the aisle, they said the were taking care of other emergencies cases and her case wasn’t that bad. So we decided to leave, she wasn’t feeling well, we had to take a cab for another hospital.</t>
  </si>
  <si>
    <t>2023-01-09T19:00:55.169Z</t>
  </si>
  <si>
    <t>Athenna</t>
  </si>
  <si>
    <t>Was taken in for an emergency and before being seen by a doctor, they charged me a 500 euros deposit and adamantly said that I needed an international doctor because I’m not Spanish. As a student, I didn’t have enough money then but they refused to see me so I had to borrow some money off friends in the middle of the night. I am traumatised from that hospital and their treatment to foreigners. Luckily for me I had insurance so I managed to get my money back in the end. But the way the staff refuses to do anything if you haven’t paid the 500 euro deposit is disgusting. Also, lesson learned, ALWAYS HAVE YOUR GHIC/EHIC card to avoid this.</t>
  </si>
  <si>
    <t>2024-05-26T12:17:27.550Z</t>
  </si>
  <si>
    <t>Roman Dionela</t>
  </si>
  <si>
    <t>Very bad , reception and they Don't respond to you in good manners when you are of another nationality, if you Don't know how to speak Spanish, then they just say wait for them to tell you you are in urgent patients or not, they Don't do their jobs, even their they Don't have patients inside, just waiting for nothing's they don't attending the patients, specially when in night shift. Very bad hospitals Maybe they need to change their way of attending all people or nationality. Maybe some other government hospitals like maternity hospital and san joan hospital are very nice attending to the patients.</t>
  </si>
  <si>
    <t>2024-07-07T23:02:59.952Z</t>
  </si>
  <si>
    <t>Didem</t>
  </si>
  <si>
    <t>I hope no one has to go their emergency. They pre charge you 500 eur giving impression that you will be taken care off well. But after 2 hours i left . Because no one told anyone how long you will wait. There is a cubic small room called waiting room. They put sick people there and leave and never return. I saw sick people crawling through hallways. I pity my time. They gave my refund. But what i wanted was a service</t>
  </si>
  <si>
    <t>2022-11-13T18:34:14.929Z</t>
  </si>
  <si>
    <t>Tim Audi</t>
  </si>
  <si>
    <t>Avoid this hospital. I gave birth here and it has been a traumatic experience. They treated me like nothing and in the end I had an almost dead experience because they have no interest in you, your baby or whatsoever. They are cold and not involved with their patients. Every time you go you will be attended by a different person. If you disagree with something they tell you to get out of the hospital. The most inhuman place ever! I only have one wish and that's they close down this place</t>
  </si>
  <si>
    <t>2022-03-23T20:37:40.276Z</t>
  </si>
  <si>
    <t>RB.</t>
  </si>
  <si>
    <t>Generally the doctors and nurses I had contact with are friendly.
But I made terrible experiences in the emergency two times. The first time I waited 3 hours in a dark hallway on a tiny wheelchair and had to fight against exhaustion and not collapsing, without any attention after surgery side-effects.
My second time I suffered from rare side-effects from the covid vaccine and I was told that I need to get checked urgently because of issues with my blood. I had to wait 6 hours before the first blood test was done, even though I was the only one in the "non covid waiting room". When I asked the nurse for a blanket she said there is none. I was freezing, I was weak and hungry. I stayed in total 16 hours in the waiting room until all tests were done and I could go home. The information exchange was extremely poor, and the way the emergency waiting rooms were handled were terrible too. They put covid patients by mistake two times into our room, and one of them was without a mask.
Asked 3 nurses where the bathrooms were, no one knew. The fourth nurse sent me to another nurse in the covid section and told her I'm negative and have no covid. She still sent me inside the Covid room to go to the bathroom. I only later realized it was the covid section. Nurses were entering it with full body protection. And me? A patient without covid? They din't care and just sent me in there. Very unacceptable.
ALL Covid patients had priority over everyone else, even those with very mild symptoms which is absolutely not okay. We had people that needed to be checked and that waited for so many hours. Extremely poor emergency management. I only wish you will improve this moving forward.</t>
  </si>
  <si>
    <t>2021-12-21T12:40:51.932Z</t>
  </si>
  <si>
    <t>Policlínica Comarcal del Vendrell</t>
  </si>
  <si>
    <t>Carretera del Vendrell a, Carretera de Santa Oliva, 43715 El Vendrell, Tarragona, Spain</t>
  </si>
  <si>
    <t>+34 977 66 01 40</t>
  </si>
  <si>
    <t>elvendrell@policlinicacomarcal.com</t>
  </si>
  <si>
    <t>Dej Sto</t>
  </si>
  <si>
    <t>Horrible,
Completly clueless and disorginized. If you can Go somewhere Else. Dangerous!</t>
  </si>
  <si>
    <t>2023-07-06T07:00:57.532Z</t>
  </si>
  <si>
    <t>Gemma Ruiz</t>
  </si>
  <si>
    <t>La verdad como policlínica que se hace llamar deja mucho que desear, vas por mutua y nunca tienen especialista hasta 3 o 4 meses o más, dicen que tienen servicios que no tienen... En fin, me operé allí y se confundieron de paciente al subirme a la habitación, que puede parecer algo tonto pero no,me dejaron sin comer (y no hacía falta) por error, todo un despropósito,y suma y sigue. Excepto algún doctor que me ha atendido de manera esporádica y trato correcto, el resto solo sirve para cobrar a las mutuas por servios mal realizados, y se nota</t>
  </si>
  <si>
    <t>2026-04-27T06:33:21.530Z</t>
  </si>
  <si>
    <t>Linda Yousef</t>
  </si>
  <si>
    <t>Llevamos 7 años utilizando la pediatría de la policlínica porque el doctor Novoa es, sencillamente, maravilloso. Es lo mejor que hay en pediatría y en atención a las familias. Gracias a él pudimos detectar de forma precisa, cuando nuestro hijo tenía solo 2 años, que era autista. Siempre estaremos profundamente agradecidos por su profesionalidad, humanidad y capacidad de diagnóstico. Precisamente por la buena experiencia con él, tanto mi marido como yo decidimos hace poco pasarnos también al policlínico para medicina general y especialistas, pensando que, pagando una mutua que nos cuesta un dineral, todo sería más ágil y eficiente. Nada más lejos de la realidad. Las citas para especialistas se están dando con dos meses de espera. Para el urólogo nos han dado cita a dos meses vista y, en el caso del digestivo, que en teoría era urgente, ni siquiera han podido darnos cita porque lo tienen todo lleno; nos han dicho que llamemos en marzo “a ver si hay algo”. Increíble. En cuanto a la doctora TAVARES nuestra experiencia ha sido muy negativa. Nos ha parecido una falta total de profesionalidad. No transmite confianza y no toma nota de datos importantes, como que mi marido está medicado para el colesterol y la tensión. En la segunda visita ni siquiera recordaba que le había mandado analíticas y pruebas; tuvimos que recordarle nosotros a qué íbamos. También fue mi marido quien tuvo que explicarle nuevamente todo lo que ya le había contado en la primera consulta porque no había apuntado nada en su ficha.
Además, en ambas visitas nos atendió mascando chicle con la boca abierta, algo que nos pareció una falta de decoro y de educación en un entorno sanitario.
Hemos quedado perplejos ante la falta de profesionalidad y organización. Desde luego, no volveremos a utilizar el servicio de medicina general ni de especialistas del policlínico.
Nuestra única recomendación dentro del centro es el doctor Novoa en pediatría, un profesional excepcional.</t>
  </si>
  <si>
    <t>2026-02-18T09:42:42.958Z</t>
  </si>
  <si>
    <t>Estefanía Perez Beltrán Leyva del</t>
  </si>
  <si>
    <t>Llegué a este centro tras una caída por las escaleras con la rodilla muy dolorida y golpes en la cabeza. No me sentí en ningún momento atendida con la seriedad que requería la situación.
Los golpes en la cabeza prácticamente no se tuvieron en cuenta y la valoración me dejó muy intranquila. En la rodilla me hicieron una radiografía, pero no había claridad ni seguridad en el diagnóstico. La sensación fue que me querían enviar a casa sin haber valorado realmente la gravedad.
No me fié y fui a otro hospital. Allí me atendieron de forma completamente diferente: detectaron la fractura con claridad, valoraron correctamente la cabeza y terminé ingresada durante una semana y media.
Lo que viví aquí fue muy angustiante, porque pude haberme ido a casa sin un diagnóstico adecuado en un momento serio. Falta de atención, de rigor y de seriedad en un caso que no era leve.</t>
  </si>
  <si>
    <t>2026-04-11T14:15:19.801Z</t>
  </si>
  <si>
    <t>Manuel Espejo</t>
  </si>
  <si>
    <t>Terminamos de salir de urgencias y nos dan hora para marzo para una ecografía.Le recriminó que como puede ser esperar tanto y me dice que si yo conozco a un ecógrafo que quiera trabajar se lo diga .Primero te digo si estás amargada de trabajar el día de reyes no tenemos la culpa Segundo nadie viene a urgencias a pasar el rato y ser atendido con tanta poca consideración.Que busque profesional tu empresa para dar un servicio que estamos pagando.Poca la poca empatía de los profesionales como tú hacen que como posiblidad de un modo construcción te pongas a trabajar de otra cosa arreando un rebaño pero no de cara al público.Denuevo en este portal para declarar con total claridad la poca implicación y desgana de parte del personal.No tengo nada que decir del equipo de rehabilitación son trabajadores preparados y todos implicados.Este es el tercer parte digamos que tenía que hacer después de una operación de menisco que por su puesto no me  hicieron en esta clínica.Pero me tocaba 20 sesiones más para fortalecer la rodilla.Llame ayer para confirmar mi presencia y la hora para no marear y poder estar listo sin demora tomaron nota y hasta aquí todo correcto.Esta mañana me presento en la hora convenida y mi documentación y tarjeta de la mutua para mí rehabilitación pues el trabajador muy amable me dice no lo encuentro a si que te sientas y esperas a lo que le digo no .Yo avisé para no tener perdidas de tiempo soy organizado y metódico.Total este elemento en cuestión ya después de como me trató me indica que si no estoy de acuerdo que haga lo que quiera . Traspasados 26 minutos se presenta la responsable y me dice que pasa . La explico el tema y en un bloc de apuntes dice si está usted anotado para empezar.La cosas es hacerme esperar según la responsable hubiera cogido la documentación que le presenté y mi tarjeta y lo habría hecho durante mi estancia de rehabilitación.Y agilizar el trabajo de su equipo.Pero no aquí se hace como el indica y decir tengo que no es el encargado de recepción de esta disciplina es un trabajador de la rehabilitación.Es lamentablemente tratar de este modo a personas y más cuando realmente tenemos razón y estamos pagando por un servicio que no es barato.Por mi parte es una lastima.poner está reseña ya que dentro de este departamento hay profesionales muy buenos ,pero no tengo más opciones de indicar lo sucedido avisar a mi mutua del trato recibido por este traba....</t>
  </si>
  <si>
    <t>2026-01-14T10:22:18.761Z</t>
  </si>
  <si>
    <t>Antonio Jimenez</t>
  </si>
  <si>
    <t>Hace dos meses operaron a mi mujer del menisco y ya al día siguiente de la operación tuvimos problemas, vino un enfermero hacer la primera cura y la sorpresa nuestra y del enfermero es que no había forma de cortar la sangre de un punto. Después de un buen rato intentándolo y yo ayudándole a aguantar las gasas, vino una enfermera y tampoco consiguió cortarla. Alfinal, tuvo que venir un doctor y le tuvieron que poner más puntos de sutura sin anestesia y un buen vendaje.
Nos fuimos a casa y a las dos horas tenía todo el vendaje empapado de sangre. Volvimos a urgencias y tuvieron que quitarle todos los puntos y volver a poner puntos nuevos y grapas. Otra vez sin anestesia. Por fin se cortó la sangre. En ningún momento avisaron al doctor que había realizado la operación para revisar los puntos que él había realizado.
En su día no pusimos ninguna queja porque todos podemos tener fallos.
Pongo la queja después de dos meses porque el sábado día 2 de agosto después de llevar unos días con dolor e inestabilidad en la rodilla se cayó y se hizo bastante daño. El lunes día 4 llamé para que me dieran visita con un traumatólogo y la respuesta fue que me pusiera en la lista de espera y si no que me buscara otro sitio. Mi mujer no ha tenido ningún seguimiento y por este motivo no recomiendo este centro sanitario.</t>
  </si>
  <si>
    <t>2026-05-24T16:17:15.081Z</t>
  </si>
  <si>
    <t>Carme AC</t>
  </si>
  <si>
    <t>Pèssima atenció de la recepcionista de Rehabilitació. Sóc usuària d’aquest servei i és una llàstima que un lloc amb bons professionals tinguin a una persona tan poc amable i educada en l’entrada.
Contesta de mala gana, no et mira a la cara quan li parles i fa gestos de despreci quan li preguntes alguna cosa.
Si aquesta senyora no valora ni li agrada la seva feina busquin una altra persona.</t>
  </si>
  <si>
    <t>2026-01-23T23:03:29.213Z</t>
  </si>
  <si>
    <t>el draket 35</t>
  </si>
  <si>
    <t>Mala experiència. No atenen en català i part del personal no entén ni parla la llengua. En un centre mèdic a Catalunya això és inacceptable. Els pacients tenim dret a ser atesos en català, especialment en l’àmbit sanitari. Cal una millora urgent.</t>
  </si>
  <si>
    <t>2026-02-05T21:37:55.272Z</t>
  </si>
  <si>
    <t>J.L. F</t>
  </si>
  <si>
    <t>Fatal. No se para que me Dan una hora en analíticas si luego atienden según van llegando. Y como haya gente. Más de 40 minutos esperando. Que lo pongan en la citación que el que primero llegue antes le atienden....la gente normal trabaja y no está para perder el tiempo.</t>
  </si>
  <si>
    <t>2026-03-05T07:59:46.165Z</t>
  </si>
  <si>
    <t>SARA MONTERO</t>
  </si>
  <si>
    <t>Ayer fue mi hermana con dolor fuerte de estómago y barriga, 300€ le cobraron y supuestamente le pusieron medicación (ni una analítica)y salió con diagnóstico VIRUS. Hoy ha ido al hospital SS y está ingresada por pancreatitis aguda y piedras en la vesícula. De lo peor en hospitales</t>
  </si>
  <si>
    <t>2026-03-07T15:00:24.245Z</t>
  </si>
  <si>
    <t>Sergio</t>
  </si>
  <si>
    <t>Joan Boquet Llorens me atendió y medio un mal diagnóstico, dos días después de atenderme un compañero suyo rectifico y tuvo que cambiar el tratamiento por empeorar mi estado . Horrible la poca profesionalidad y tacto de este señor.</t>
  </si>
  <si>
    <t>2026-04-03T08:58:27.125Z</t>
  </si>
  <si>
    <t>Asun Fernandez</t>
  </si>
  <si>
    <t>Atendida por el otorrino en Doctor Pumarola en la primera visita me diagnóstico,que una telita justo me tapaba el tímpano que haciendo  un tratamiento oral estaría resuelto me ha diagnosticado dos tratamientos no obtenido ninguna mejoría ahora,?????sigo sin solución ninguna y.....Juzguen ustedes.sin obtener nada de mejoría,?????</t>
  </si>
  <si>
    <t>2026-03-12T14:13:19.970Z</t>
  </si>
  <si>
    <t>javier pons</t>
  </si>
  <si>
    <t>Puedes estar semanas llamando para pedir hora con especialista y no van a contestar al teléfono. Es increíble</t>
  </si>
  <si>
    <t>2026-05-29T09:38:22.635Z</t>
  </si>
  <si>
    <t>Luis Jarque</t>
  </si>
  <si>
    <t>Nefasto. Tras la visita con la anestesista y comentarle que consumía cannabis me dijo que debía estar 24h sin fumar antes de la operación. El día de la operación, minutos antes de entrar a quirófano me dice que no me opera por dar positivo en cannabis. Tras reclamar a un alfeñique que no tiene ni idea de poner orden , me tengo que ir a otro centro y haber perdido 30 días de espera. Anteriormente ya me habían operado y se avisó a la misma anestesista de que consumía y no hubo problema. Puso en peligro mi vida aquella vez o tal vez hoy no tenía ganas de trabajar???</t>
  </si>
  <si>
    <t>2025-05-20T16:13:43.701Z</t>
  </si>
  <si>
    <t>José Ramírez</t>
  </si>
  <si>
    <t>Tengo dos hijas, la mayor de 6 años y una bebé de 1 año, llevamos bastantes años confiando en ellos y en el excelente profesional Dr. Novoa. Desde hace un año aproximadamente decidimos dejar de pagar mutua para sacarnos la tarjeta de ellos y abonar el importe cada vez que fueramos a alguna visita, importe que era de 35€ por visita. Mi sorpresa ha llegado cuando hemos ido a la revisión del año de mi hija pequeña y nos comenta la chica de recepción, si nos habían informado del incremento a partir de septiembre, a lo que respondo que no, pero bueno, como he comentado antes, llevamos confiando desde hace años, total que el incremento no es de 10 o 15€, que obviamente hubiera aceptado encantado, por el magnífico profesional que tienen en pediatría. Total que el incremento ha sido más del doble, llegando a los 75€. Me parece un abuso. Por lo tanto, lamentablemente dejaremos de ir, con el inconveniente de no poder visitarnos con el pediatra que ha llevado a mis hijas desde que nacieron.</t>
  </si>
  <si>
    <t>2025-09-09T16:23:13.713Z</t>
  </si>
  <si>
    <t>Anais Cuevas M</t>
  </si>
  <si>
    <t>El Lunes fui porque me dolía el gemelo y no podía apoyar el pie, desde que entré el personal poco empático, me empezaron a toquetear la zona y me dolió más, me dijeron que era una contractura. Al día siguiente fui al hospital y me revisaron ( con radiografía incluida) y me dijeron que era una rotura de fibra muscular en el gemelo que se me estaba expandiendo a la rodilla. En la policlínica me mandaron Ibuprofeno y en el hospital reposo. A veces vale más esperar horas que minutos y decirte cosas que no son. No recomiendo nada la policlínica para nada.</t>
  </si>
  <si>
    <t>2025-07-16T09:03:44.163Z</t>
  </si>
  <si>
    <t>Xavi Gil</t>
  </si>
  <si>
    <t>La experiencia en este centro fue un despropósito. Acudimos por un cólico nefrítico, una urgencia con un dolor terrible, y nos dejaron abandonados en la sala de espera. Tras casi una hora viendo pasar a gente que llegó después, tuvimos que quejarnos para descubrir que, por un error suyo, se habían olvidado de nosotros. Es indignante que un paciente con ese nivel de sufrimiento tenga que luchar para ser atendido por una negligencia administrativa. Fatal es poco decir.</t>
  </si>
  <si>
    <t>2025-08-15T18:38:41.266Z</t>
  </si>
  <si>
    <t>AbdE BHD</t>
  </si>
  <si>
    <t>Nefasta atención,la chica de información de resonancia,hasta en tres veces me dijo parece que no te enteras hablándome de mala manera y todo por pedir una cita</t>
  </si>
  <si>
    <t>2026-02-23T10:54:11.879Z</t>
  </si>
  <si>
    <t>alfredo obregón</t>
  </si>
  <si>
    <t>Un vergüenza la atención recibida hoy mismo día 29 de Julio a las 04:30 de la madrugada. Es que ni la enfermera que nos ha abierto la puerta de urgencias ha sido amable.
He ido con mi hija por un problema de gastroenteritis. El supuesto doctor nos ha mandado para casa luego de una visita penosa. Electrolitos y buscapina. Ole tú crack !!
Hemos salido de la clínica y nos hemos ido directamente a la Dexeus de Barcelona. Diagnóstico de gastroenteritis de origen bacteriano. Antibióticos, antieméticos, protector estocamal y electrolitos. Con un margen de 24h para recuperarse sino tenemos que ingresarla.
Un aplauso para el servicio de urgencias de la Policlínica y lástima que hayan desperdiciado tantos años de estudios para terminar atendiendo a la gente de esta manera a clientes que vienen a través de una mutua de pago.
A los directores de la Policlínica:
Tenéis a la gente mal pagada o mal dirigida o ambas cosas.</t>
  </si>
  <si>
    <t>2025-07-29T10:32:33.436Z</t>
  </si>
  <si>
    <t>Miriam Lurigados</t>
  </si>
  <si>
    <t>MALA EXPERIENCIA EN URGENCIAS.
He llegado a la clínica con un brote alérgico con erupción severa en el 90% de mi cuerpo a las 5:48 de la mañana y he salido a las 5:58. En esos 10’ me abrieron la ficha (la chica de recepción era nueva y una compañera la estaba formando porque no sabía hacerlo), entré al box, me pincharon y me dieron la receta. Rápido, no? NEFASTO. Me miraron un poco lo que se me veía por el cuello y (la misma chica de recepción que no sabía abrir una ficha en urgencias) vino al box “Bájate los pantalones” pinchazo sin delicadeza ninguna y cuando me dijo “Ya está” me vi la sangre caer y le tuve que pedir que me presionara y tapara el pinchazo. Pregunté por los síntomas de la inyección “Cada persona es diferente” A los 4 pasos de salir de la clínica tuve que volver a entrar con mareos, náuseas, mala visión y taquicardia… me dieron una bolsa para respirar y me dejaron sola. Dentro las escuchaba JI JI JAJA. En fin. Poca consideración y ganas de trabajar, personal sin experiencia ni supervisión… Una pena.</t>
  </si>
  <si>
    <t>2025-06-09T15:39:41.487Z</t>
  </si>
  <si>
    <t>Avantmèdic</t>
  </si>
  <si>
    <t>Plaça Social, 3, 25008 Lleida, Spain</t>
  </si>
  <si>
    <t>+34 973 72 80 90</t>
  </si>
  <si>
    <t>dpd@avantmedic.com</t>
  </si>
  <si>
    <t>EBC</t>
  </si>
  <si>
    <t>Vull denunciar públicament el tracte absolutament intolerable i la falta d'empatia que ha rebut el meu marit avui a la consulta de Neurofisiologia Clínica per part de la Dra. Claudia Lazo La Torre.Anava a fer-se un electromiograma després d'haver estat operat del turmell, una prova que ja de per si és incòmoda i genera nervis. Va coix i li fa mal. Li està costant fer vida amb normalitat. Una situació espcialment vulnerable (com molts pacients).  Ha sortit de la consulta plorant a causa de la fredor, la duresa i els comentaris totalment fora de lloc d'aquesta doctora. En lloc de limitar-se a fer la prova de manera professional, li ha dit de males maneres que "ho tenia molt malament", que "ara ja era massa tard per fer-li això" i que "el seu doctor ja s'espavilaria, però que no serviria de res".Un metge pot transmetre un diagnòstic amb claredat, però mai enfonsar emocionalment un pacient ni desautoritzar d'aquesta manera la feina del traumatòleg que el va operar. Una falta d'humanitat i de tacte professional absoluta. Presentarem la queixa formal corresponent a la direcció del centre, ja que un servei mèdic privat (i la medicina en general) no es pot permetre aquest tracte vexatori envers els pacients. No recomano en absolut aquesta especialista.</t>
  </si>
  <si>
    <t>2026-06-29T15:06:14.441Z</t>
  </si>
  <si>
    <t>Daniele Gemmani</t>
  </si>
  <si>
    <t>Lo peor que pueda pasar a cualquier paciente, recurrir al servicio medico privado, pensando que pagando se tenga alguna garantia de un servicio mejor, pero no, dinero totalmente tirado. Fui por un problema cronico a la rodilla, esperando en un analisis detallado del problema y un seguimiento, pague algo como 80 -90€, me atendio un traumatologo (que no voy a mencionar), ni siquiera me escucho, me observo muy superficialmente para 5 minutos (de reloj) y me liquido diciendo que siguiese con mi vida normal como siempre he hecho. Me quede flipando. No creo que haga falta añadir mas. No puedo absolutamente recomendarlo por la falta de seriedad y de empatia con los pacientes.</t>
  </si>
  <si>
    <t>2026-07-06T10:13:41.516Z</t>
  </si>
  <si>
    <t>Laia Llubes</t>
  </si>
  <si>
    <t>Una experiència molt decebedora amb el servei de podologia d’Avantmèdic. En el meu cas, el tractament amb plantilles no només no va millorar el problema, sinó que vaig acabar amb més dolor al peu, que posteriorment em van diagnosticar com a fascitis plantar.
A més, no he percebut cap tipus de seguiment del cas. Quan fan algun ajust de les plantilles, ni t’avaluen de nou ni revisen realment l’evolució: simplement et deixen les plantilles a recepció sense una valoració adequada.
Tinc la sensació que el tractament no va ser encertat i el resultat ha estat clarament negatiu. No puc recomanar aquest servei segons la meva experiència.</t>
  </si>
  <si>
    <t>2026-04-28T11:22:09.791Z</t>
  </si>
  <si>
    <t>Núria Tortosa</t>
  </si>
  <si>
    <t>1 mes i mig d'espera per tenir una cita amb l'especialista. 40 minuts a la sala d'espera i 3 minuts a consulta que no m'han arreglat absolutament res.</t>
  </si>
  <si>
    <t>2026-05-19T15:02:58.712Z</t>
  </si>
  <si>
    <t>Anouar Boumakhtaf Torres</t>
  </si>
  <si>
    <t>Va tot bé fins que t'han de donar hora. Fa més de 21 dies que esperem resposta per una intervenció.
Fa temps que utilitzem avant mèdic però any rere any el servei empitjora.</t>
  </si>
  <si>
    <t>2026-05-26T15:47:27.628Z</t>
  </si>
  <si>
    <t>Fabiana A. Moreno</t>
  </si>
  <si>
    <t>Si vas con mutua, MUCHO OJO.
Te pueden cobrar sin que te informen el valor antes de la consulta.
Mirar bien lo que tienes contratado. Y Asegurase lo que te van a cobrar ANTES de la consulta.
Es una clínica con mucho impacto cuando entras. Y luego escasea de atención al cliente.
Y la cita médica duro menos de 10 minutos.
Tuve la cita en esta clínica este mes de Enero de 2026 en dermatología, pague 110€.</t>
  </si>
  <si>
    <t>2026-01-29T15:47:45.039Z</t>
  </si>
  <si>
    <t>B “Bi”</t>
  </si>
  <si>
    <t>Lo que odio es el ambiente pijo que hay allí desde la gente que se espera hasta las recepcionistas, encima que tienes que esperar un montón de rato,si te ven hablando con tu madre mientras te esperas,ya te viene una recepcionista diciendo  que allí no se habla,gente esperando friqui que les molesta que hables hasta con tú madre ,como ha cambiado avant medic de antes ,no hay la simpatía de antes de las recepcionistas, en Vithas no hacen estas tonterías.</t>
  </si>
  <si>
    <t>2026-01-23T00:54:21.019Z</t>
  </si>
  <si>
    <t>Begoña Castello Ortiz</t>
  </si>
  <si>
    <t>Es una veritable vergonya que tres mesos d’espera per una visita amb un especialista.
I fins i tot mes de temps.
Potser s’hauria de fer alguna cosa al respecte.</t>
  </si>
  <si>
    <t>2026-03-09T07:07:22.743Z</t>
  </si>
  <si>
    <t>Isabel Alcalà Espuñes</t>
  </si>
  <si>
    <t>Per ser un centre pioner, está molt anticuat en tema d,parells de resonancia magnética per als qui patim de claustrofobia i poca empatía...per part del personal que et coloca allí dins...sense explicacio...i mes quan li estas dient que tens claustrofobia ni t,ajuden a relaxar ni res....fa 20 anys que soc client habitual i la qualitat que pressumeixen tenir ..deixa força que desitjar...</t>
  </si>
  <si>
    <t>2025-12-17T03:55:03.948Z</t>
  </si>
  <si>
    <t>Susanna Montero</t>
  </si>
  <si>
    <t>Lamento tener que escribir esta reseña, porque era mi centro de referencia, pero últimamente el servicio ha empeorado mucho: citas para especialistas imposibles de conseguir, o bien con tiempos de espera de entre 3 o 4 meses, tiempos de espera en la sala de espera que pasan de lo razonable (a veces hora y media larga), personas que entran antes que tú habiendo llegado tú con media hora de antelación (las personas trabajamos y el tiempo de todo el mundo es oro), visitas de cinco minutos en los que algunos especialistas no te miran, ya no digo a la cara, ni si quiera donde les dices que te duele, alguno/a incluso ni en la camilla, directamente de pie y con precios por visita que no valen lo que ofrecen dado que sales sin diagnóstico ni ninguna prescripción ni solución, no se molestan ni en mirar tu historial, algo imprescindible, ni en rellenarlo si es la primera visita con ese especialista. Y no hablo de un solo especialista, me ha pasado ya con varios.
Por cierto, ya que hacen esperar tanto, lo mínimo que podrían hacer es bajar el precio del parking, si no acabas pensando que te  hacen esperar para cobrarte más de parking. Lo suyo sería que los pacientes tuvieran, como en los supermercados, un tiempo de estacionamiento gratuito por cada visita.
Ahora entiendo porque algunas mutuas han dejado de trabajar con ellos, pues si se cobra mucho, lo mínimo es dar un servicio acorde al precio.
Si escribo esta reseña es con la intención de hacer una crítica constructiva y con la esperanza de que alguien la lea y pongan solución, pues veo que no soy la única que comenta todo esto y que no dejan de crecer las reseñas negativas, lo que significa que algo está pasando. Es cierto que hay especialistas que lo hacen bien y a los que seguiré yendo, pero, últimamente, en cuanto a la gestión en general, hay mucho margen de mejora.
Si me permiten darles un consejo, recuerden que es difícil ganarse la confianza de las personas y muy fácil perderla, por lo que les animo a reconducir la gestión actual para que vuelvan a ser el centro pionero y de referencia que todos deseamos.</t>
  </si>
  <si>
    <t>2026-01-29T13:33:32.552Z</t>
  </si>
  <si>
    <t>MJL</t>
  </si>
  <si>
    <t>Te sacan el dinero descaradamente. Tardan mucho en atenderte, las visitas son carísimas y de pocos minutos, debido a la cantidad de gente que hay. Es imposible que te den un buen diagnóstico, el médico te avia rápido, apenas te escucha. Después claro, hay errores y malentendidos. Así no funciona. La sensación es que tratan a la gente como a ganado. Te arrepientes de no haber ido a la SS.</t>
  </si>
  <si>
    <t>2025-11-02T08:10:51.015Z</t>
  </si>
  <si>
    <t>er Potros</t>
  </si>
  <si>
    <t>Tenia cita a las 19:40, me presento a las 19:15 p.m. x si acaso ... Y me atendieron a las 20:30 (5min de consulta) 130€ siendo que me habían dicho previamente 110€. Lo encuentro una bestialidad x una simple pregunta ante demasiada espera. Muy decepcionado al ser una  recomendación. Sin duda una mala experiencia.</t>
  </si>
  <si>
    <t>2024-01-31T17:27:37.390Z</t>
  </si>
  <si>
    <t>OSCAR F (Tapi)</t>
  </si>
  <si>
    <t>Sobre saturats,hora pel especialista el meu cas trauma 15 dies minim. El dia de la visita em van fer esperar 45 minuts,al queixar-me a recepció em van dir que tenia que queixal al metge,que tothom es queixa a ella,no ho vec normal.</t>
  </si>
  <si>
    <t>2025-08-12T07:46:14.876Z</t>
  </si>
  <si>
    <t>Josep Maria</t>
  </si>
  <si>
    <t>L'atenció telefònica deixa molt a desitjar, si truques buscant solució a temes de salut, no és acceptable que acabis la trucada més malalt encara i sense haver solucionat res.
Alguna "telefonista" potser hauria de prendre menys cafès i més valerianes. Una mica més de paciència, empatia i bones maneres, si us plau.
A la S.S. t'atenen millor!</t>
  </si>
  <si>
    <t>2026-03-03T16:19:46.050Z</t>
  </si>
  <si>
    <t>Rosa Jornet</t>
  </si>
  <si>
    <t>Programaron una prueba que necesitaba, según el especialista,  8 horas de ayuno y cuando fueron a realizarla no fue posible por que las horas de ayuno que nos indicaron fuero insuficientes, sin embargo sí cobraron 400 € por una prueba que no pudo tener diagnostico por que no se realizó. Este tipo de situaciones deberían ser previsibles por parte del equipo médico y deberían haber tenido en cuenta este factor de riesgo al planificar la prueba, cuando se les presenta una queja la desestiman diciendo que "estas cosas pasan".</t>
  </si>
  <si>
    <t>2025-06-23T16:06:14.471Z</t>
  </si>
  <si>
    <t>D. Wallace</t>
  </si>
  <si>
    <t>L'atenció telefònica és pèssima.he trucat en tres ocasions on la que menys han trigat a contestar han passat 5min. La resta he tingut que penjar i tornar a trucar al cap d'una estona, on he estat més de 10min esperant. Aspecte a millorar.</t>
  </si>
  <si>
    <t>2025-05-13T09:07:21.389Z</t>
  </si>
  <si>
    <t>Teo</t>
  </si>
  <si>
    <t>Atenció telefònica de molt mal gust. Que un dimarts a les 11 estiguin així de cremats i ho paguin amb els pacients pot voler dir dues coses.
O que he topat amb la borde de turno o que aquesta pobra gent està sobrexplotada</t>
  </si>
  <si>
    <t>2024-09-24T09:01:44.633Z</t>
  </si>
  <si>
    <t>Irene Vilella</t>
  </si>
  <si>
    <t>Tenía visita a las 13h con la dermatóloga, a las 13:20h pregunto y se ve que hay dos personas por delante de mí, me confirman que la doctora ha llegado tarde y por eso se ha retrasado todo. Tal y como hacen para recordarte que tienes cita y no te retrases enviando un mensaje, deberían avisar de que la cita se va a retrasar, no cuesta nada llamar o enviar un mensaje. La gente tiene vida y cosas que hacer.</t>
  </si>
  <si>
    <t>2024-07-16T11:23:27.905Z</t>
  </si>
  <si>
    <t>J. N.</t>
  </si>
  <si>
    <t>Experiencia pésima con el otorrinolaringólogo Xavier Galindo. Se le explica el problema y sin más hace las pruebas pertinentes, que según su criterio no había nada fuera de lo normal. Se le insiste en que no es así, que algo pasa. Insiste una y otra vez en que no, hasta el punto de ser desagradable.
Cuál es la sorpresa cuando no satisfecho en absoluto con su diagnóstico se visita otra doctora en otra clínica al día siguiente, en menos de 5 minutos ya localizó el problema y empezamos tratamiento que se solucionó en una semana.  Al comentarle lo sucedido la doctora no entiende cómo no podía haberse dado cuenta este doctor.
Así que si tenéis pensado coger cita con él, bajo mi opinión os lo desaconsejo totalmente. Soberbia absoluta. Nunca en mi vida me había sentido así de mal tratado por un profesional de la medicina, encima pagando.</t>
  </si>
  <si>
    <t>2024-03-26T16:21:11.889Z</t>
  </si>
  <si>
    <t>Gina Marques Bosch</t>
  </si>
  <si>
    <t>Acabo de sortir de Avantmèdic, la expèriencia amb la Dra Lazo ha set horrible.
El entrar el seu to ha set desagradable i prepotent.
Emb comença a fer la proba amb cap moment m'explica res.
Jo lo dic que tinc bastant dolor i en lloc d'empatitzar i ser una mica amable,la seva resposta ha set que si no emb vull fer la proba estic amb el meu dret.
Tota l'estona amb to maleducat i
desagradable,evidentment s'ha quedat el meu volant i cobrará la proba íntegra.
Amb aquesta senyora li aniría bé apendre que és pot ser Dra però sería important també ser persona.</t>
  </si>
  <si>
    <t>2023-11-03T07:47:57.288Z</t>
  </si>
  <si>
    <t>Clínica Mi NovAliança | Lleida</t>
  </si>
  <si>
    <t>Av. Prat de la Riba, 79-81, 25006 Lleida, Spain</t>
  </si>
  <si>
    <t>+34 973 23 29 43</t>
  </si>
  <si>
    <t>info@minovalianca.com</t>
  </si>
  <si>
    <t>Mariona Badia</t>
  </si>
  <si>
    <t>Truco per demanar hora per mamografia i ecografia em diuent que ara envient un correu i d'aquell departament em trucaran.  Passa 1 dia no em truquen.2on dia torno a trucar passen nota tampoc em truquen, estic al 3er. dia, la noia del tlf diu que ella no sap res. Em passa a atencio al pacient atent  un contestador  que diu  que deixis el missatge amb lo que continuo sense cap resposta.
Em pensava que aquesta clinica donava millor servei.</t>
  </si>
  <si>
    <t>2026-06-09T11:36:06.208Z</t>
  </si>
  <si>
    <t>Eva Martinez</t>
  </si>
  <si>
    <t>Totalmente vergonzoso.
Operan a mi pareja de túnel carpiano, le retiran puntos estando la herida todavía abierta. Volvemos al día siguiente a urgencias y después de una hora y media esperando, no lo pueden coser por riesgo se infección.
Me parece vergonzoso tal servicio, sobretodo de urgencias, teniendo en cuenta que se va por mutua privada pagando.
Hace muchos años a mí también me hicieron una carnicería en un pie, pensé entonces que solo era cosa del traumatólogo que me operó, veo que es el hospital el que funciona igual de mal... Lamentable.</t>
  </si>
  <si>
    <t>2026-05-15T13:55:26.566Z</t>
  </si>
  <si>
    <t>Oleg BM</t>
  </si>
  <si>
    <t>El tracte dels zeladors / auxiliars de la clínica NEFAST. Vas a la clínica pagant més de 10.000€ per una intervenció important i amb menys de 24 hores t’envien ràpid cap a casa (cobrant-te 2 nits quan només hi has estat 1) i donant l’alta un metge que no és el que t’opera.</t>
  </si>
  <si>
    <t>2026-07-10T11:40:25.982Z</t>
  </si>
  <si>
    <t>Valentín Viudes</t>
  </si>
  <si>
    <t>Increíble que cada vez que vas a visitas programas en Carrer La Premsa, tienes que hacer cola abajo 15-30 minutos para que registren tu llegada haciendo que tengas que ir bastante antes a la visita o llegar tarde. Tienen recepciones arriba en cada planta infrautilizadas que podrían servir para repartir esa carga...</t>
  </si>
  <si>
    <t>2026-06-11T07:51:03.154Z</t>
  </si>
  <si>
    <t>Mariano Barabas</t>
  </si>
  <si>
    <t>Estoy en urgencias, llevo esperando mucho tiempo y aún nada
A mí amiga le atendieron al cap del frente en 2 min
No compensa pagar para esperas tan largas cuando puedas tener un servicio mejor gratis</t>
  </si>
  <si>
    <t>2026-06-21T13:23:32.504Z</t>
  </si>
  <si>
    <t>Elena Giribet</t>
  </si>
  <si>
    <t>Srs , porto una hora i 15 minuts trucam a la Clinica Aliança !! Com pot ser que un hospital no agafi el telèfon de les 8 hores a les 9 , 15 hores del mati ?? Es una vergonya</t>
  </si>
  <si>
    <t>2026-05-04T07:20:52.364Z</t>
  </si>
  <si>
    <t>陈金媚</t>
  </si>
  <si>
    <t>非常差。有人他们说他们都等了两三个小时了都没有人来。吧台都没人来了也不来给我们看就走了。十几个人都在这里等都没人来。气死了。很多人都等不了都走了</t>
  </si>
  <si>
    <t>2025-12-01T20:42:40.334Z</t>
  </si>
  <si>
    <t>Virginia Valupi</t>
  </si>
  <si>
    <t>Vergonzoso
Acudo a urgencias
Me hice mutua para tratarme acudo aquí que pensé que eran serios, me dan cita con el cirujano al día siguiente a las 8 am
Pienso genial que formales con lo mal que estoy. Aquí esperando sino cojo y pregunto sigo esperando que están mal dadas las citas que Dr Lobos no viene hasta las 10am
Pensé que eran las profesionales
Estoy decepcionada
No por error humano sino porque la recepcionista me conteste no te quejes que te puedo dar para dentro de 3 meses y como le conteste lo escribo. Para eso no pago una mutua y sigo con la seguridad social. El recepcionista de la entrada que le pregunté cómo recepciono mi llegada y me dijo No es mi culpa.
Compromiso de empresa cero. Y la chica altiva no … lo siguiente.
Ya os he enviado el mail.
Si que soy paciente si.
Seguimos hablando por mail</t>
  </si>
  <si>
    <t>2026-01-20T20:17:14.317Z</t>
  </si>
  <si>
    <t>David Ventura</t>
  </si>
  <si>
    <t>Marzo 2026. Pedir cita para el Neurólogo y que te digan que la agenda esta cerrada hasta agosto 2026, sin darte más opciones. Abril 2026, Agenda abierta para octubre de 2026, pero estamos en abril, la gente igual no puede esperar tanto. DEFICIENTE</t>
  </si>
  <si>
    <t>2026-04-14T09:30:05.242Z</t>
  </si>
  <si>
    <t>Annabel Miranda</t>
  </si>
  <si>
    <t>Molt poca facilitat per poder coordinar les hores de vista per radiologia. Diuen que ells et truquen i has d’estar pendent del telèfon, i si no pots…t’aguantes</t>
  </si>
  <si>
    <t>2026-02-03T07:44:34.054Z</t>
  </si>
  <si>
    <t>Silvi</t>
  </si>
  <si>
    <t>Muy mala atención por parte del personal de recepción. Parece que trabajan ahí como castigo: cero educación, cero profesionalismo!
He ido por privado, pagando el 100% (ni Seguridad Social, ni mutua), y aun así me hacen esperar más de 30 minutos para una radiografía simple.
Además, cuando llamas por teléfono cuestionan los motivos médicos, siendo que ya tengo volante del doctor. Si su trabajo es dar una cita, que lo hagan sin faltar al respeto.
Es una vergüenza que un centro privado trate así a la gente que está pagando de su bolsillo. No volveré ni lo recomiendo a nadie.</t>
  </si>
  <si>
    <t>2025-10-27T08:11:39.092Z</t>
  </si>
  <si>
    <t>Josep Maria Jimenez</t>
  </si>
  <si>
    <t>No vuelvo nunca más como un urgencias fatal un servicio nefasto más de una  hora y media en espera ! Fui a preguntar q pasaba y ya no estaba ni el recepcionista! Muy mal peor q la seguridad social!</t>
  </si>
  <si>
    <t>2025-12-01T20:40:47.129Z</t>
  </si>
  <si>
    <t>Jonatan Requena</t>
  </si>
  <si>
    <t>Como urgencias un desastre 3 veces e venido y en una mas de 1h de espera y en las otras dos mas de 3h , RECORDEMOS QUE ES MUTUA DE PAGO
No lo recomiendo por nada es un desastre siempre estan a servicios minimos</t>
  </si>
  <si>
    <t>2026-05-17T13:04:07.284Z</t>
  </si>
  <si>
    <t>HENRY BOCANEGRA</t>
  </si>
  <si>
    <t>Muy mala atención  atención recepción, no saben responder bien alas personas, y mucho menos en las llamadas telefónicas. No tienen ese espíritu de atender , nosotros pagamos nuestros dinero.</t>
  </si>
  <si>
    <t>2026-06-22T11:39:12.324Z</t>
  </si>
  <si>
    <t>Aleix Jové Ariño</t>
  </si>
  <si>
    <t>Simplemente, no hace falta pagar para estar horas en la sala de urgencias. Puedes disfrutar de todo esto de forma “gratuita” en la SS.</t>
  </si>
  <si>
    <t>2026-06-02T13:22:48.878Z</t>
  </si>
  <si>
    <t>isabel Martinez</t>
  </si>
  <si>
    <t>Ir a urgencias 23/03/2026 por la tarde, entrar toda la sala llena y con un olor desagradable. No me extraña que tuvieran para puerta lateral abierta.</t>
  </si>
  <si>
    <t>2026-03-26T17:37:33.515Z</t>
  </si>
  <si>
    <t>Salvador Rubio</t>
  </si>
  <si>
    <t>Ahir per la tarda, 19:00 hores,  la meva cosina tenia programada visita post operació.
No viuen a Lleida, per lo que tenen que fer desplaçament.
A l'hora eren a lloc i es diuen que la visita se ha anul·lat i es queden tan pinxos...
No hi ha dret, tendrien que pensar més amb els clients i evitarnos tot aquest enrenou.
No és pot consentir aquest passotisme!!!!</t>
  </si>
  <si>
    <t>2023-12-22T12:01:50.005Z</t>
  </si>
  <si>
    <t>Carolina VL</t>
  </si>
  <si>
    <t>Es un desastre, ya son muchas veces que nos hacen esperar la última ya 2:30h de espera en urgencias ami hijo con una herida abierta de un operación de apendicitis, es un clínica privada de pago no es pública es un desastre no lo recomiendo por nada del mundo una de las peores de lleida</t>
  </si>
  <si>
    <t>2026-05-17T12:17:02.461Z</t>
  </si>
  <si>
    <t>Judith Tortajada</t>
  </si>
  <si>
    <t>El dia 13 de març de 2025  vaig acudir a urgències perquè no podia ser atesa ni pel metge de família ni per ginecologia, ja que tots dos serveis estaven saturats. Em va atendre la Doctora PIRELA, i tot i que em va fer les proves pertinents i em va derivar a ginecologia, la seva actitud va ser poc empàtica i distant.
Quan li vaig exposar el meu problema de salut, la seva resposta inicial va ser: "Un servei d’urgències és per a persones greus o molt greus, si la seva vida està en risc de mort en 24/48 hores." Aquesta resposta em va fer sentir com si la meva situació no fos prou important, sense tenir en compte el meu malestar i preocupació.
Entenc que a urgències es prioritzen els casos més greus, però això no hauria de ser excusa per un tracte fred i poc comprensiu. Un professional de la salut no només ha de fer proves i derivacions, sinó també saber comunicar-se amb empatia i respecte.
Crec que els pacients mereixem una atenció més humana, especialment en moments d’angoixa. Tot i que l’atenció mèdica va ser correcta, el tracte personal va deixar molt a desitjar.</t>
  </si>
  <si>
    <t>2025-03-12T11:50:09.892Z</t>
  </si>
  <si>
    <t>J P E</t>
  </si>
  <si>
    <t>Urgencies un desastre. 5 hores esperant i en aquestes 5 hores han ates 2 persones. Infermeres i metges jugant i rient pels pasillos sense atendre a ningu. Ens prenen el pel. Uns “sinvenguenzas”.</t>
  </si>
  <si>
    <t>2025-11-03T22:00:56.126Z</t>
  </si>
  <si>
    <t>Vithas Centre Mèdic Lleida</t>
  </si>
  <si>
    <t>Avinguda de Tortosa, 4, 25005 Lleida, Spain</t>
  </si>
  <si>
    <t>+34 973 26 63 00</t>
  </si>
  <si>
    <t>Montse Oriola</t>
  </si>
  <si>
    <t>Organització fatal. Primer rebo una trucada anul.lant una cita mèdica i acte seguit un correu i un SMS confirmant la mateixa cita. Quan truques no et contesten mai i si ho fan, et passen a una centraleta q. no està ni a Lleida i diuen q. Ells no poden gestionar res.
Al final si vols alguna cosa t'hi has de presentar.
No havia vist mai una cosa igual.
Estàs apurat de salut i aquestes males gestions encara t'hi fan posar més
Bons especialistes però la gestió és pèssima no..... lo següent🤬
És nefast</t>
  </si>
  <si>
    <t>2026-06-08T05:22:22.005Z</t>
  </si>
  <si>
    <t>Marga Rodri</t>
  </si>
  <si>
    <t>Tenía hoy cita, desde hace 3 meses , con dermatología por Asisa . Desde el 1 de enero ya no trabajan con esta aseguradora y nadie me avisó ni me dijo nada. Me enteré yo esta mañana cuando llamé . Muy mala atención al paciente.</t>
  </si>
  <si>
    <t>2026-02-17T11:41:49.732Z</t>
  </si>
  <si>
    <t>Geo Marti torres</t>
  </si>
  <si>
    <t>Me recomendaron la dr. Irigoyen ya que es muy buena en su especialidad pedi hora y me tuve que esperar 3 meses acepte esperar y resulta que llego a la consulta i me dicen que la señora irigoyen ya no esta y que me visitara otra medico, digo bueno vale y ahora resulta que llamo para una revisión de medicación y me dicen que me tengo que esperar 4 meses que no pueden hacer nada mas esto es un cachondeo es medicacion psiquiatrica no pueden dejar asi a la mano de dios no se para que pago seguro si me atendien antes por la s.s estoy indignada i mira que vithas asta ahora todo bien pero esto no se puede permitir</t>
  </si>
  <si>
    <t>2026-02-04T13:25:05.306Z</t>
  </si>
  <si>
    <t>Xavi Martinez</t>
  </si>
  <si>
    <t>+3 mesos per demanar cita per una revisió. Un munt de correus sense resposta. Més de 90 minuts d'espera entre proves. Fent passar gent davant teu... Terrible</t>
  </si>
  <si>
    <t>2026-03-02T09:28:22.474Z</t>
  </si>
  <si>
    <t>Laia Goixart</t>
  </si>
  <si>
    <t>Aconseguir hora és una odissea i quan arribes a la teva cita, després de mesos d’espera… has de marxar perquè van amb 2 hores de retard. Poca professionalitat i respecte pel temps dels pacients.</t>
  </si>
  <si>
    <t>2025-11-19T23:38:36.918Z</t>
  </si>
  <si>
    <t>MaGraujo</t>
  </si>
  <si>
    <t>Terrible. Sobretot marxeu corrent a Barcelona a operar de clavícula o hombro.
El 9 d'agost en un accident de bicicleta em trenco la clavícula, fractura medial amb minutes(fragments dispersos) rebo la primera visita i noticia al cap de la Seu d'Urgell, la recomanació és clara: operar d'urgència però a un hospital comarcal no ho fan, em deriven cap a Lleida. Ja sabia que al Arnau de Vilanova em denegarien tota operació, conec multitud de casos (moto /bici descens) de gent que ha quedat malament de per vida en no negar-lis la operació... Acudeixo a Vitas urgències, em reb un tal Efrain, m'intenta disuadir a mi a la meva mare que m'acompanyava, disuació total d'operar i es nega a deixar-me veure la radiografia o a comentar res. Em programen pel Dr Ruiz, estem a dia 9 d'agost amb una clavícula fragmentada que requereix d'intervenció urgent si es vol tornar al esport(cal entendre que el pacient no és una persona sedentària d'oficina) a dia 2 de setembre tinc la primera visita amb el traumatòleg dr Ruiz, Demencial! Ja no seria a temps de haver soldat  malament (com era d'esperar en tal aparatosa i lletja fractura). Entre mitjes davant d'una brutal angoixa que m'impedeix conciliar el són, consulto a dues clíniques de Barcelona: les dues, 3 traumatòlegs diferents, coincideixen que la millor opció per mi donada la lesió i les aspiracions esportives personals... Consideren que la millor opció és operar. M'opero el dia 19 d'agost a Barcelona, excel·lent! A les 48 h ja no tinc cap dolor!  El que tinc ara és una profunda indignació i un dolor moral profund. Intervenció era dins del Pla de la mútua era coberta.... Ja al 2012 vaig patir una lesió de Hill Sacks a la espatlla esquerra I Lleida es negaven, va ser gairebé un any perdut i de donar tomps entre mals diagnòstics, indiferència... Diners de fisioteràpia de pago... Es més que comprensible que el pacient marxi a Barcelona sentint-se així de abandonat! Del 9 d'agost, la primera cita amb el especialista el 2 de setembre... Per dir-me que tampoc m'hauria operat...</t>
  </si>
  <si>
    <t>2025-09-04T18:40:39.286Z</t>
  </si>
  <si>
    <t>Luz Castañeda</t>
  </si>
  <si>
    <t>No recomiendo para nada al doctor. Si deseas por privado te enseño los resultados. Y luego de fastidiarte la vida. Te promete y luego no se acuerda. Carísimo calidad pésima y se va de rositas, garantía cero</t>
  </si>
  <si>
    <t>2025-12-07T00:06:50.301Z</t>
  </si>
  <si>
    <t>Ramon Biosca Freixanet</t>
  </si>
  <si>
    <t>El passat 17/09/2025 a les 16:45h vaig tenir visita a traumatologia, després d'un hora d'espera, entro a la visita i el doctor es disculpa per no poder entendre el català, al ser d'origen nordic... no entraré en l'obligació legal d'entendre el català... El problema va ser que el doctor tenia dificultats per entendre i expresar-se en castellà!!! La visita va ser totalment surrealista, ja que varem tenir que entendre'ns amb gestos i paraules soltes.
TOTALMENT INNACCEPTABLE!!!
Vaig possar la corresponent queixa a la mutua a qui li pago l'assegurança de salud.</t>
  </si>
  <si>
    <t>2025-09-30T16:33:05.609Z</t>
  </si>
  <si>
    <t>Joaquim Gonzalez Ramirez</t>
  </si>
  <si>
    <t>Las enfermeras y recepcionistas siguen sin mejorar.
Acabo de presenciar una pelea entre dos de ellas en medio de la sala de espera, con los pacientes atónitos.
Siguen dándome inseguridad, tienen poca empatia y profesionalidad.
Sólo espero que el único Dr al que vengo a ver a Vithas cambie de centro.</t>
  </si>
  <si>
    <t>2025-10-02T16:01:04.896Z</t>
  </si>
  <si>
    <t>M.NEUS BARBOSA PONS</t>
  </si>
  <si>
    <t>Bon dia, avui tenia visita telefònica amb un especialista. He estat esperant una hora i ningú m'ha dit res. Truco per preguntar què ha passat, em passen amb ginecologia, ningú contesta, torno a trucar a vithas vàries vegades i ningú contesta.
Atenció nefasta, ningú et diu què ha passat ni et donen cap solució bàsicament perquè no contesten i has perdut més d'una hora esperant.</t>
  </si>
  <si>
    <t>2025-08-07T12:42:45.547Z</t>
  </si>
  <si>
    <t>Carles Jurado</t>
  </si>
  <si>
    <t>He trucat per demanar hora per dermatologia i la primera hora disponible, en 4 mesos. Demano més urgència per una taca que m’ha sortit a l’esquena i la resposta és que no poden fer res. Això, pagant una assegurança privada. És vergonyós!!!</t>
  </si>
  <si>
    <t>2025-06-26T16:53:30.887Z</t>
  </si>
  <si>
    <t>EVA CAROLINA VIDAL RIBES</t>
  </si>
  <si>
    <t>Tenia hora para el radiólogo y el cirujano des de hacía más de 1 año. 12 días antes, me llaman, me cancelan la visita y son incapaces de darme más de una alternativa para otra visita. Tanto pagar mútua, para que te traten así!!!! Estoy muy decepcionada.</t>
  </si>
  <si>
    <t>2025-07-24T15:27:12.730Z</t>
  </si>
  <si>
    <t>Tabacoycaneye33@live.com Figueroa</t>
  </si>
  <si>
    <t>La atención por parte d elas se secretarias pésima  de la primera no al bajar ala planta -1 me acerqué a una le pregunté donde me podían atender en neurocirugia llegué le dije buenos días y ni me contestó me habló golpeado y con mala manera la interrumpí porque estaba mirando el móvil ...en cambio la otra si me atendió bien ..primero la educación antes de estar trabajando frente al público  y llegó ala sala de espera 4 sillas y yo de pie con una ciática que me mata .parece una clínica de lujo de primera .pero es todo lo contrario</t>
  </si>
  <si>
    <t>2025-09-22T09:02:31.390Z</t>
  </si>
  <si>
    <t>Raquel Rivas</t>
  </si>
  <si>
    <t>El trato con los profesionales ha sido excelente, pero la organización de este centro es lamentable. Le doy 1 estrella porque no es aceptable que, siendo una clínica privada, se ofrezcan listas de espera tan largas, similares a las de un hospital público. Es inadmisible tener que esperar 1 o 2 meses para que te vea un médico de familia (solo pasan consulta los viernes), incluso cuando ya tienes pruebas diagnósticas pendientes de interpretación. Peor aún, esperar 5 meses para otras especialidades en la misma situación. ¿Cómo esperan que el médico haga un diagnóstico correcto con tanta demora? ¿Cómo pretenden solucionar problemas de salud que pueden empeorar con el tiempo? El centro no ofrece alternativas ni soluciones, simplemente te obligan a esperar mientras tu problema persiste.</t>
  </si>
  <si>
    <t>2024-10-07T11:10:40.451Z</t>
  </si>
  <si>
    <t>S. Hueso</t>
  </si>
  <si>
    <t>Hace unos días mi pareja Galina A. Se hizo un tratamiento estético en el centro medico Vithas de Lleida para eliminar unos capilares del rostro, y en lugar de eliminarlos le han salido más. Se ha gastado 200 euros y no ha servido de nada, todavía se ha empeorado más. Es un tratamiento que no recomendamos a nadie. Si tenéis otras alternativas mejor ir a otro centro. La verdad es que no son nada profesionales en este tipo de tratamientos.</t>
  </si>
  <si>
    <t>2025-02-25T17:41:14.568Z</t>
  </si>
  <si>
    <t>Patricia Marquina</t>
  </si>
  <si>
    <t>Trato vergonzoso. Hemos pedido hora para un especialista que salía en el cuadro medico de la mutua. Hemos llamado y nos han confirmado que entraba por la mutua. Una vez allí incluso nos han pasado la tarjeta y nos han indicado la consulta. Cuál ha sido nuestra sorpresa cuando ha salido la doctora y nos ha dicho que subiéramos a recepción. Cuando hemos subido nos han dicho que la mutua no entraba pero que teníamos la opción de la visita privada. Automáticamente hemos decidido irnos y buscaremos una solución en un centro serio donde nos quieran atender.</t>
  </si>
  <si>
    <t>2024-06-28T19:39:29.503Z</t>
  </si>
  <si>
    <t>Albert</t>
  </si>
  <si>
    <t>Es lamentable la gestión de este centro, para recibir por email unas analíticas te hacen esperar 15 días, después de rellenar la solicitud que te mandan.
Es triste que en la era de la tecnología, no tengan control de la documentación y que el propio paciente no pueda descargar desde la web de Vithas, analíticas antiguas. Solo permite descargar analíticas muy recientes. Es de los únicos centros hospitalarios de Lleida, que no puedes obtener tus resultados de manera rápida.</t>
  </si>
  <si>
    <t>2025-05-06T12:46:04.001Z</t>
  </si>
  <si>
    <t>Francesc AlternLlum Grup SL</t>
  </si>
  <si>
    <t>Mal organitzats i lents, ja no és el que era, ja no és un centre de referència com era abans. Millor busqueu un altre lloc</t>
  </si>
  <si>
    <t>2025-12-04T13:57:58.972Z</t>
  </si>
  <si>
    <t>Robert Castella</t>
  </si>
  <si>
    <t>Nefasta atenció i servei. Et donen cita amb metges que no es presenten o que no passen visita aquell dia i no son bons ni de comunicar-ho al pacient. Perds un matí així.
El Dr. Infiesta (endocrí) tenia el matí ple de pacients i no es va personar. El centre no ho va comunicar. Una vergonya de professional.</t>
  </si>
  <si>
    <t>2022-06-27T09:44:37.630Z</t>
  </si>
  <si>
    <t>Miguel Torres</t>
  </si>
  <si>
    <t>Lo peor de lo peor,no volvere mas,trato vejatorio,mal educados,</t>
  </si>
  <si>
    <t>2026-02-14T14:34:31.477Z</t>
  </si>
  <si>
    <t>360Clinics Jaén</t>
  </si>
  <si>
    <t>Av. de Madrid, 27, 23008 Jaén, Spain</t>
  </si>
  <si>
    <t>+34 681 05 12 78</t>
  </si>
  <si>
    <t>info@360clinics.es</t>
  </si>
  <si>
    <t>Rocio Sánchez Sánchez</t>
  </si>
  <si>
    <t>Me parece fatal que cierren ''temporalmente'' el centro y ni siquiera se avise a los clientes. Creo que lo mínimo que deberían hacer es avisar. En mi caso, tenía hoy cita y tengo que ir desde Almería a Jaén (2,5h de coche) para realizarme la sesión y me he enterado del cierre porque al ver que no me respondían el teléfono he mirado en Google y en las reseñas otros clientes se estaban quejando de la situación, sino me hubiera pegado el viaje para nada. La gestión de esta "empresa" me parece nefasta y 0 empática. Desastroso.</t>
  </si>
  <si>
    <t>2026-01-09T11:40:21.185Z</t>
  </si>
  <si>
    <t>Alicia Montoro Jiménez</t>
  </si>
  <si>
    <t>¡Experiencia nefasta! Cerraron sin avisar, por segunda vez. Sigo a la espera de una respuesta con un tratamiento pagado sin finalizar. No Dan la cara!! Tomaré las medidas necesarias para que me devuelvan mi dinero</t>
  </si>
  <si>
    <t>2026-04-21T13:58:59.779Z</t>
  </si>
  <si>
    <t>Noelia Garrido</t>
  </si>
  <si>
    <t>A mí también me ha pasado ya dos veces que me encuentro con el centro cerrado y sin terminar mis sesiones y ni avisan ni te cogen el teléfono ni nada de nada.
Es más....ya de por sí.. me resultaba muy difícil coger una cita. No soy de Jaén y en su momento me venía bien porque iba los sábados debido a que no puedo ir otro día por trabajo y había temporadas en el año que no abrían los sábados y me veia con sesiones paradas y sin poder hacerlas en los meses que me correspondian.
Espero que den una solución rápida a todo porque me niego a perder mis sesiones y mi dinero.</t>
  </si>
  <si>
    <t>2025-11-18T23:26:46.255Z</t>
  </si>
  <si>
    <t>Francisco Jesús Lindes Martínez</t>
  </si>
  <si>
    <t>Hola.
Creo que si ustedes tenían pensado en cerrar temporalmente, deberían de comunicarlo a los clientes y si no son capaces de prestar su servicio lo que tienen que hacer es devolver el dinero.
Quedo a la espera de saber cuándo se reabre la clínica para que me den las sesiones que tengo pendientes.
Una vez que cogen el dinero ya no se preocupan de nada.
Esperemos que lo tengamos que tomar medidas legales por lo incompetentes que sois. Por qué ya he pagado las sesiones de mi contrato y me quedan más de la mitad por darme.</t>
  </si>
  <si>
    <t>2026-01-19T15:18:47.405Z</t>
  </si>
  <si>
    <t>Manuel Martos Chica</t>
  </si>
  <si>
    <t>Tenía cita y cuando llegué estaba el centro cerrado. He visto que ha cerrado temporalmente, espero que den solución. Ya que tengo contratado un servicio y me los encuentro cerrados.
He intentado contactar, vía WhatsApp, email y teléfono. Pero ninguno da respuesta, espero que nos den una solución y no pierda mi dinero.</t>
  </si>
  <si>
    <t>2026-01-23T17:07:22.733Z</t>
  </si>
  <si>
    <t>mariia garciia loopez</t>
  </si>
  <si>
    <t>Tengo el láser pagado de 900€ y es la segunda vez que cierra sin dar explicaciones o al menos trasladarnos a otro centro, es una vergüenza este sitio, como he visto en otro comentario, yo también estoy deseando terminar para no acudir más… el número por el cual nos comunicaban ha sido desactivado, a quien contactamos para ser informados?? A quien reclamamos?? Espero que nos den información pronto para al menos terminar el tratamiento.</t>
  </si>
  <si>
    <t>2025-11-08T17:53:32.403Z</t>
  </si>
  <si>
    <t>Shara Castro</t>
  </si>
  <si>
    <t>Esque,no puedo estar mas arta de que me jodan por segunda vez!!!!!
Pague 1.600€ hace 2 años y aun tengo sesiones por hacer y estan todas las clinicas de españa cerradas temporalmente.Es la segunda vez que dan la espantada sin ningun tipo de consecuencia ni previo aviso. No puedo mas no se puede ser menos profesionales que esta cadena pero para todo para clientes,trabajadores,centros es una puta VERGUENZA QUE JUEGUEN CON NUESTRO TIEMPO Y DINERO!!!!!
como no se resuelva esto pronto,me dispondre a ir a donde sea para que me devuelvan mi dinero porque mi tiempo no se DEVUELVE!!!!
QUE VERGUENZA Y FALTA DE PROFESIONALIDAD Y ETICA!!!
PA COBRAR SOIS MUI RAPIDOS!!!
NO FINANCIEIS NADA CON ESTA GENTE!!!</t>
  </si>
  <si>
    <t>2025-12-10T16:47:47.311Z</t>
  </si>
  <si>
    <t>Ana Ordoñez escribano</t>
  </si>
  <si>
    <t>Que vergüenza es la 3 vez que me dejan tirada y sin avisar ni dar soluciones cuando está más que pagado.. no entiendo clmo pueden hacer eso y ni si quiera dignarse a mandar un mensaje, pero el dinero si se lo llevan calentico, es indignante</t>
  </si>
  <si>
    <t>2026-01-30T12:46:25.714Z</t>
  </si>
  <si>
    <t>Rafa Martos Luque</t>
  </si>
  <si>
    <t>tenía cita hoy a las 11:15 en la clínica de Jaén y al llegar me he encontrado con el centro cerrado, sin ningún aviso previo. Me parece una falta total de profesionalidad, ya que tuve que pedir el día en el trabajo y desplazarme expresamente para acudir a la cita. Nadie se ha puesto en contacto conmigo para informar ni ofrecer una solución.
Espero que Clinic 360 asuma su responsabilidad y dé una respuesta, además de aclarar qué ocurrirá con los pacientes de Jaén que queremos continuar con el servicio.</t>
  </si>
  <si>
    <t>2025-10-29T14:50:42.231Z</t>
  </si>
  <si>
    <t>Mariana Martínez ortega</t>
  </si>
  <si>
    <t>Quiero una solución ya, la segunda vez que cierran sin precio aviso, quedándose con mis sesiones y mi dinero... Es increíble lo de esta empresa!! Que ganas de terminar</t>
  </si>
  <si>
    <t>2025-12-12T06:55:29.622Z</t>
  </si>
  <si>
    <t>Paqui Blanco</t>
  </si>
  <si>
    <t>Son una estafa, ya es la segunda vez que me pasa que cierran sin avisar, no es culpa de las trabajadoras pero los de arriba nos están robando el dinero, espero poder acabar mis sesiones algún día, menos mal que me quedan pocas (cuando abran no se merecen que vaya nadie más a pagarles )</t>
  </si>
  <si>
    <t>2026-01-30T19:47:28.180Z</t>
  </si>
  <si>
    <t>Juan de mata Fernández Troyano</t>
  </si>
  <si>
    <t>Sin comentarios.....es la segunda vez que me pasa.
La otra vez en un par de meses se solucionó, pero ahora no contestan ni Correos ni WhatsApp.
No se ni donde voy a llamar ni a preguntar!!!!!
Con esta gente más vale denunciar...</t>
  </si>
  <si>
    <t>2026-03-30T19:44:05.625Z</t>
  </si>
  <si>
    <t>Leticia González Martínez</t>
  </si>
  <si>
    <t>Tengo sesión mañana y no he recibido ningún mensaje. Resulta que nuevamente han vuelto a cerrar el centro y sin avisar ni siquiera a los clientes. La empresa tiene 0 profesionalidad. Llevo 3 años con el láser porque cada vez que cierran tengo que esperar 3 meses, lo mismo en 2038 he terminado las 12 sesiones que ya he pagado.</t>
  </si>
  <si>
    <t>2025-11-20T12:52:59.383Z</t>
  </si>
  <si>
    <t>Sara Pérez Vílchez</t>
  </si>
  <si>
    <t>Las trabajadoras son estupendas y han hecho su trabajo muy bien. El problema viene de que me tengo que enterar por una noticia de que la empresa ha cerrado "temporalmente". En la misma noticia la empresa comunicaba que había avisado a todos los afectados de este cierre y en ningún caso nos han comunicado nada. Es una vergüenza lo que han hecho.</t>
  </si>
  <si>
    <t>2025-11-19T08:59:24.544Z</t>
  </si>
  <si>
    <t>Ana del Pino Merino</t>
  </si>
  <si>
    <t>Alguien tiene alguna novedad sobre esto? Me parece increíble que aún nos tengan esperando y sin darnos noticias o al menos devolvernos el dinero de las sesiones que aún nos quedan por hacer…</t>
  </si>
  <si>
    <t>2026-04-07T12:12:30.840Z</t>
  </si>
  <si>
    <t>Jose Manuel López Morón</t>
  </si>
  <si>
    <t>Buenos días!! Tengo cita para hoy día 4 de noviembre y leyendo las publicaciones veo que lo han vuelto a cerrar . Ahora que pasa con todos los que vamos a la clínica de depilación??</t>
  </si>
  <si>
    <t>2025-11-04T09:24:41.805Z</t>
  </si>
  <si>
    <t>Francisco Antonio Mendieta Martinez</t>
  </si>
  <si>
    <t>Una empresa nefasta , ya han dos veces en dos sitios distintos. Yo tengo contratado con ellos y te dejan tirado sin avisar</t>
  </si>
  <si>
    <t>2026-02-03T21:07:09.023Z</t>
  </si>
  <si>
    <t>SANTIAGO ROJAS GOMEZ</t>
  </si>
  <si>
    <t>No sé lo recomiendo a nadie, después de tener todo el tratamiento pagado vuelven a cerrar, ya es la segunda vez, mi hija tenía cita la semana pasada, nos desplazamos y nos encontramos el centro cerrado y sin avisar, eso sin contar la lucha con las citas, era muy difícil conseguirlas y algunas veces al llegar el día de la cita se la tenían que cambiar porque tenían poco personal y no le podían dar la sesión y a esperar otro mes</t>
  </si>
  <si>
    <t>2025-11-12T14:51:19.420Z</t>
  </si>
  <si>
    <t>martoja</t>
  </si>
  <si>
    <t>Cierran con el dineral que he pagado, y me dejan a medias. No te go el contrato y no puedo denunciar de ninguna manera. PESIMO</t>
  </si>
  <si>
    <t>2026-01-12T22:49:59.953Z</t>
  </si>
  <si>
    <t>Jose Paya</t>
  </si>
  <si>
    <t>Cierran sin previo aviso , esta pagado ppr un año , asi que es unirnos y hacer una denubcia , la TV les encanta esto</t>
  </si>
  <si>
    <t>2025-11-05T00:26:42.388Z</t>
  </si>
  <si>
    <t>Dra. Mª Engracia Campo Virgili, Dermatólogo</t>
  </si>
  <si>
    <t>C. Pedro Sopena, 12, 22003 Huesca, Spain</t>
  </si>
  <si>
    <t>contacto-es@doctoralia.com</t>
  </si>
  <si>
    <t>carmen boira ralfas</t>
  </si>
  <si>
    <t>Hoy 7 de Mayo del 2025 fui al Hospital Quirón de Huesca para pedir cita con esta Dra. Y la administrativa me dice que la Dra. había puesto una nota en la que me negaba citarme por no haber podido acudir a la visita anterior. Lo primero intenté anularla llamando y no cogen el Teléfono. Segundo al día siguiente estaba en quirófano. Creo que siendo que voy por privado y en un proceso oncológico, está Dra debería tener EMPATÍA, si sabe el significado de la misma.... Con este comportamiento va a perder pacientes. Por mi parte no sé la recomiendo a nadie..... Y segundo, hágase más humana...... Y aprenda de otros colegas suyos de ese Hospital y el trato a sus pacientes y lea las reseñas... Obvio voy a poner la correspondiente reclamación a la Dirección.</t>
  </si>
  <si>
    <t>2025-05-07T19:18:39.035Z</t>
  </si>
  <si>
    <t>Laura Roth</t>
  </si>
  <si>
    <t>será buena profesional como médico, como persona deja mucho que desear, totalmente desde el respeto esta opinión, pero no deberían ejercer esto según que perfiles de personas… y este es un claro ejemplo, solo tiene comentarios no muy apropiados (no solo en las reseñas de google) de atención al paciente, que creo que es primordial, aparte de tener el conocmiento necesario en el area</t>
  </si>
  <si>
    <t>2025-06-24T14:13:52.241Z</t>
  </si>
  <si>
    <t>Paula Ferrer Comín</t>
  </si>
  <si>
    <t>Hemos llamado en dos ocasiones para pedir cita en noviembre; la primera no habían abierto listas y habi que llamar a partir de octubre, llamamos a finales de septiembre y ya no había hueco. Pedimos por favor que es urgente y no disponemos de otro día pero nada.</t>
  </si>
  <si>
    <t>2023-09-25T13:10:22.594Z</t>
  </si>
  <si>
    <t>Big Bento</t>
  </si>
  <si>
    <t>POR FAVOR, NO ACUDAIS A ESTA MUJER, IRRESPETUOSA, NINGUNA EMPATIA, NI UN POCO DE PACIENCIA, NOS EMPEZO A GRITAR EN LA CONSULTA PORQUE SI Y TUVIMOS QUE FRENARLE, SU ARGUMENTO: QUE ESTABA ESTRESADA, NO SE QUE HACE ESTA MUJER TRABAJANDO EN EL AMBITO DE LA SALUD, UNO DE LOS QUE MAS EMPATIA REQUIERE, UNA VERGÜENZA, NO VOLVEMOS A IR NI YO Y NI NINGUNO DE MIS FAMILIARES, LAMENTABLE.</t>
  </si>
  <si>
    <t>2023-11-13T19:05:19.810Z</t>
  </si>
  <si>
    <t>ramon guardia</t>
  </si>
  <si>
    <t>La doctora una prepotente, empatía con sus pacientes cero. Es una pesetera, nos cobro por un comentario telefónico que nos hizo .</t>
  </si>
  <si>
    <t>2023-02-28T17:04:12.213Z</t>
  </si>
  <si>
    <t>Pili</t>
  </si>
  <si>
    <t>Se cree Dios..y no lo es</t>
  </si>
  <si>
    <t>2021-08-17T22:28:43.621Z</t>
  </si>
  <si>
    <t>Clínica Dermatológica Dr.Domínguez Silva</t>
  </si>
  <si>
    <t>P.º Tomás Morales, 56, 35003 Las Palmas de Gran Canaria, Las Palmas, Spain</t>
  </si>
  <si>
    <t>+34 928 36 18 98</t>
  </si>
  <si>
    <t>info@clinica-silva.com</t>
  </si>
  <si>
    <t>Μαρία Ερατώ κ.</t>
  </si>
  <si>
    <t>Llamé por teléfono y hablé en inglés porque no hablo bien español. Cuando pregunté a la señora de recepción si hablaba inglés, me colgó el teléfono antes de que pudiera intentar comunicarme utilizando un traductor.
Me sorprendió esta actitud, ya que simplemente estaba intentando comunicarme de la mejor manera posible debido a la barrera del idioma. Considero que todos los clientes merecen un trato respetuoso e intento de asistencia, independientemente del idioma que hablen.</t>
  </si>
  <si>
    <t>2026-06-08T08:45:20.269Z</t>
  </si>
  <si>
    <t>Paula Del Rosario</t>
  </si>
  <si>
    <t>Qué pena que no se pueda poner 0 estrellas. Muy mala atención telefónica. No responden las llamadas y, cuando devuelven la llamada, la persona que atiende habla de forma poco respetuosa y acaba colgando el teléfono sin la debida educación. Un trato nada profesional.</t>
  </si>
  <si>
    <t>2026-06-15T10:46:08.776Z</t>
  </si>
  <si>
    <t>Sonrisilla 92</t>
  </si>
  <si>
    <t>"NEFASTA LA PRIMERA EXPERIENCIA".
Busco Dermatólogo bueno por Google y me salen varios. Me fijo en las reseñas y veo en este, que dos o tres o mas personas se quejaban de la atención de la secretaria, la que coge  las llamadas. PUES TIENEN TODA LA RAZON DE QUE DA MUY MALA ATENCION AL TELEFONO. Ni una despidiéndose amablemente, se digna ha simplemente callarse. Es decir, ni buenas tardes ni adiós buena. Y lo asombroso es que todavía sigue trabajando, se nota que su actitud no ha cambiado, o no le habrán dicho nada. En fin... por estas cosas pierde mucho la empresa.
CERO PROFESIONALIDAD PARA CON ELLA.</t>
  </si>
  <si>
    <t>2021-04-05T14:08:07.998Z</t>
  </si>
  <si>
    <t>Manuel</t>
  </si>
  <si>
    <t>Esperando una cita dos meses y me llaman 3 días antes para cambiármela cuyo esfuerzo he hecho por parte de mi empresa librar para ese dia , vergüenza debería darles, nada responsable parece el tiempo de ellos vale más que el de uno.  Impresentables!!!</t>
  </si>
  <si>
    <t>2022-07-06T18:05:53.356Z</t>
  </si>
  <si>
    <t>Beatriz Marcelo Alonso</t>
  </si>
  <si>
    <t>Mala experiencia en el dermatólogo. En las 3 consultas que he tenido para el seguimiento del tratamiento que me envió, la operativa ha sido la misma. No deja hablar al paciente, acorta las sesiones diciendole a su recepcionista que entre y así no puedas hacerle preguntas tras él terminar de escribir su informe. Cuando le he tratado de preguntar algo sobre el tratamiento, se pone a la defensiva. Me quedo con muchas dudas y con poca o ninguna explicación por su parte. No lo recomiendo.</t>
  </si>
  <si>
    <t>2024-05-29T16:22:11.136Z</t>
  </si>
  <si>
    <t>IHRM 23</t>
  </si>
  <si>
    <t>He ido varias veces y siempre ha sido muy efectivo. Experiencia y profesionalidad definirían a este señor. No obstante, la secretaría que trabaja ahí y atiende las llamadas es todo lo contrario, y la calidad del servicio parte desde ahí, motivo por el que mi puntuación es negativa. Hoy he llamado, y el trato recibido ha sido insultante por varias razones que me ahorraré redactar por falta de tiempo. No sé si quien está actualmente atendiendo las llamadas es la misma que siempre he visto cuando voy a las consultas; en cualquier caso, si fueran diferentes personas, no se salva ninguna. Finalmente no he concertado cita e iré a otro profesional.</t>
  </si>
  <si>
    <t>2019-01-09T13:07:01.856Z</t>
  </si>
  <si>
    <t>Elizabeth SanJor</t>
  </si>
  <si>
    <t>Buenas tardes el Dr. Silva es una eminencia en su campo. Efectivo y cordial. Puntuo con 2 estrellas por la atencion de su secretaria nefasta y borde. Parece que le debieras la vida antipatica a rabiar he dejado de ir por su trato.</t>
  </si>
  <si>
    <t>2019-09-20T12:34:42.883Z</t>
  </si>
  <si>
    <t>Dermatología La Palma</t>
  </si>
  <si>
    <t>C. O'Daly, 42, 1 1, 38700 Santa Cruz de la Palma, Santa Cruz de Tenerife, Spain</t>
  </si>
  <si>
    <t>+34 922 41 53 42</t>
  </si>
  <si>
    <t>(Fetched reviews mein negative review nahi mila)</t>
  </si>
  <si>
    <t>Dermatología Cristobal</t>
  </si>
  <si>
    <t>Esquina a, Calle Ronda del Corpus, C. los Perdones, 8, 37002 Salamanca, Spain</t>
  </si>
  <si>
    <t>+34 923 21 00 85</t>
  </si>
  <si>
    <t>info@dermatologiaclinicacristobal.com</t>
  </si>
  <si>
    <t>Mati Calvo Gallego</t>
  </si>
  <si>
    <t>Esta clinica no tiene nada q ver con lo q era con la doctora pilar , fui con mi hija para q le quitaran una pequeña verruguita en la nariz , se paso con el laser y ahora tiene un agujero</t>
  </si>
  <si>
    <t>2026-04-26T17:59:44.467Z</t>
  </si>
  <si>
    <t>Ángela</t>
  </si>
  <si>
    <t>Una estrella porque no se puede poner menos. No recomiendo este centro de salud bajo ningún concepto.
Mi experiencia ha sido francamente decepcionante. Durante la consulta con el dermatólogo Dr. Javier Cañueto, la recepcionista interrumpió varias veces con prisas, insistiendo en que había otro paciente esperando. Me pareció totalmente inapropiado, especialmente teniendo en cuenta que estaba pagando 100€ por una consulta privada, con la expectativa de recibir una atención profesional, sin interrupciones ni presiones.
Lo más indignante fue la actitud del doctor, que lejos de pedir que no nos interrumpieran, respondió con un: “Sí, enseguida acabo, que es que me está liando.” Como paciente, no estoy “liando” a nadie: estoy intentando resolver un problema médico por el que he pagado, y que merece el tiempo necesario.
Para empeorar la situación, el doctor se negó a recetarme el tratamiento que podía haberme solucionado el problema, alegando que debía pedir otra cita, a pesar de explicarle que no podía volver porque me marchaba a mi ciudad en una semana. Salí de la consulta sin solución.
Al salir, escuché cómo la recepcionista volvía a entrar, el médico le pedía que cerrara la puerta y ambos se reían del tiempo que habían pasado conmigo, restando importancia a mi caso y comentando que “no era un problema mayor”. Una actitud muy poco profesional y totalmente fuera de lugar.
Si valoras tu tiempo, tu dinero y una atención médica de calidad, te recomiendo buscar otro centro.</t>
  </si>
  <si>
    <t>2025-05-14T18:07:56.315Z</t>
  </si>
  <si>
    <t>vanesa de sousa</t>
  </si>
  <si>
    <t>Es educada y amable. Sin embargo no me gustó la atención, Marta procedía con mucha prisa. Estaba a tope de gente, y fue súper rápida, estaría dentro unos 5 o 10 minutos como mucho...se limitó a mandarme un tratamiento sin saber la causa de lo que me pasaba. Pedí una segunda opinión, y me dieron más información y un tratamiento más ajustado.</t>
  </si>
  <si>
    <t>2024-02-05T18:21:56.887Z</t>
  </si>
  <si>
    <t>Marta Heredia</t>
  </si>
  <si>
    <t>Fui el pasado mes de septiembre de 2024 y me sentí mal atendida, muy rápido todo y sentí que no me escuchó nada. El tratamiento muy mal, ninguna solución y además, el precio desvariado en relación al trato. Me vio la doctora Marta.
Muy insatisfecha con todo.</t>
  </si>
  <si>
    <t>2024-12-28T18:28:01.844Z</t>
  </si>
  <si>
    <t>esperanzada hoy</t>
  </si>
  <si>
    <t>La persona que atiende al teléfono no tiene educación. Es una pena que pongan a esa señora como primera toma de contacto con la clínica. Espero que puedan corregir su actitud y la bajen del pedestal del que cree estar instalada. Fui paciente hace más de 10 años y no puedo tener más que buenas palabras para Pepa (no se si sigue trabajando ahí ya que, vista la actitud de la de recepción y teniendo en cuenta que la dermatóloga a la que quería visitar pasa consulta en otro centro, no concerté cita), pero tras este periodo de tiempo durante el que no he tenido que ir y con el desencuentro surgido con la mujer que contesta el teléfono no creo que vuelva, al menos no en mucho tiempo.</t>
  </si>
  <si>
    <t>2024-03-12T20:23:21.097Z</t>
  </si>
  <si>
    <t>Asuncion Rodríguez Sánchez</t>
  </si>
  <si>
    <t>Fatal informales total después de tardar un mes en dar cita,me citan para el mes de agosto y cuando llego la clínica cerrada. Y sin avisar. Les doy una estrella porque no puedo darles 0</t>
  </si>
  <si>
    <t>2024-08-12T17:28:58.390Z</t>
  </si>
  <si>
    <t>Jorge Pindado</t>
  </si>
  <si>
    <t>Ahora cobran 120€ por quemarte una verruga con nitrógeno y te hacen esperar 1 hora diciéndote que por favor vayas antes. Literalmente 2 minutos de consulta. Y viniendo a lo mismo desde hace tiempo. Para lo colmo super bordes.</t>
  </si>
  <si>
    <t>2024-07-29T16:22:30.814Z</t>
  </si>
  <si>
    <t>Charo Martin</t>
  </si>
  <si>
    <t>Cuando la atención al paciente se limita al dinero que la doctora gana ya dice mucho de su profesionalidad. Nada recomendable. Además existe un componente q se llama amabilidad, y más cuando es una consulta privada, que brilla por su ausencia. Nada recomendable.</t>
  </si>
  <si>
    <t>2019-12-07T09:29:33.727Z</t>
  </si>
  <si>
    <t>Silvia Rguez</t>
  </si>
  <si>
    <t>Muy mal, el trato es súper desagradable, fui por una araña vascular a por un láser en concreto que me recomendaron en el hospital, supuestamente el láser que quería me lo hicieron hasta en tres ocasiones pagando cada una porque siempre volvía a salir y todavía sigo con la araña. En revisión del hospital me han dicho que el láser que iba buscando no lo hay en Salamanca,  no sé qué me harían además de sacar el dinero. No recomiendo esta clínica a nadie.</t>
  </si>
  <si>
    <t>2022-05-26T15:50:40.798Z</t>
  </si>
  <si>
    <t>Saioa Martin Medina</t>
  </si>
  <si>
    <t>Fui a consultar por un lunar que ha cambiado de color en la pierna, el trato con la Dra. fue bastante frío.
Me dijo que seguramente lo que tenía era una quemadura del láser (el cuál me hago en otra clínica)y tenía otros 2 más pequeños también quemado, apreciaba al mirarmelo con la lupa
Al pedirle un informe, me dijo de malas formas que No, que no podía ponerme que eso fuera seguro por la láser.
Yo en ningún momento le dije lo qué tenía que poner, simplemente pedí un informe para tener un control de mis citas médicas,fecha, qué se aprecia, que el resto de lunares están sin anomalía...
Por último,le dije que me hacía la láser en un centro médico, y me respondió: centro médico por tener un n° registro sanitario??(tono de enfado) y que entonces fuera a que me mirará el dermatólogo de la Clínica dónde me hago láser 🤷 No me he sentido cómoda...</t>
  </si>
  <si>
    <t>2020-11-26T14:38:03.331Z</t>
  </si>
  <si>
    <t>Maria Eugenia De Cabo López</t>
  </si>
  <si>
    <t>Horrorosa atención con precios desorbitados, por no mencionar a la señorita que atiende la recepción que es bastante desagradable, se confunde con las citas y habló muy mal a varios pacientes</t>
  </si>
  <si>
    <t>2024-10-09T08:52:57.067Z</t>
  </si>
  <si>
    <t>VECAM CLIENTE</t>
  </si>
  <si>
    <t>Mi experiencia fue muy negativa como ya saben ustedes con una quemadura en la cara como consecuencia del laser, quemadura de la que dos años mas tarde sigo tratándome en una clínica especializada de Madrid y que por desgracia no conseguiré nunca eliminar la cicatriz.</t>
  </si>
  <si>
    <t>2019-04-30T10:35:37.977Z</t>
  </si>
  <si>
    <t>Julita J</t>
  </si>
  <si>
    <t>Estuve, en esa clínica, de unos granitos en el cuello, me costó los ojos de la cara, cogió el mucho dinero con avaricia y no se ha dignado preguntar, como he quedado, hace 2 años.No volveré  en la vida.</t>
  </si>
  <si>
    <t>2022-08-27T17:04:44.590Z</t>
  </si>
  <si>
    <t>Beats Recordings</t>
  </si>
  <si>
    <t>Iba a pedir una cita pero leyendo los comentarios….. lo siento, buscaré otro sitio.</t>
  </si>
  <si>
    <t>2024-02-16T16:10:49.267Z</t>
  </si>
  <si>
    <t>Clara Bernal Martínez</t>
  </si>
  <si>
    <t>Una hora me hicieron esperar... Ni medio normal.. encima pareció que les daba igual.</t>
  </si>
  <si>
    <t>2023-04-25T08:28:13.462Z</t>
  </si>
  <si>
    <t>Antolín Bayón</t>
  </si>
  <si>
    <t>Mala experiencia. Trato desagradable y poco humano por parte de la doctora.
No volveré.</t>
  </si>
  <si>
    <t>2021-10-05T18:40:13.594Z</t>
  </si>
  <si>
    <t>Elena Díaz Muriel</t>
  </si>
  <si>
    <t>Muy desagradable en el trato. No recomendaría a nadie esta consulta.</t>
  </si>
  <si>
    <t>2022-10-20T11:16:37.442Z</t>
  </si>
  <si>
    <t>Mamen Martín</t>
  </si>
  <si>
    <t>Falta absoluta de empatía, nada agradable, acudir a su consulta de nuevo es para pensárselo. Hay más dermatólogos.</t>
  </si>
  <si>
    <t>2019-06-19T14:18:40.244Z</t>
  </si>
  <si>
    <t>VE CAM</t>
  </si>
  <si>
    <t>Nada recomendable y menos para el láser, me abrasaron en la cara.</t>
  </si>
  <si>
    <t>2022-02-18T16:29:32.175Z</t>
  </si>
  <si>
    <t>Rosa Lopez Martin</t>
  </si>
  <si>
    <t>No recomendable</t>
  </si>
  <si>
    <t>2024-06-20T17:05:49.632Z</t>
  </si>
  <si>
    <t>CLÍNICA DERMATOLÓGICA DRA. CEBREIRO</t>
  </si>
  <si>
    <t>Rúa da Senra, 1, 4º Dcha, 15702 Santiago de Compostela, A Coruña, Spain</t>
  </si>
  <si>
    <t>+34 981 58 63 27</t>
  </si>
  <si>
    <t>info@dermogalicia.es</t>
  </si>
  <si>
    <t>María Caamaño Cebro</t>
  </si>
  <si>
    <t>Muy mala experiencia. Fui a la clínica hace unos meses por un problema de caída del cabello y acné persistente. En la primera consulta fueron muy amables pero en la revisión dos semanas después no se acordaban bien de mí y abrieron fichas de otros pacientes; la doctora se había comprometido a mirar unos análisis y no se había acordado; me despacharon rápidamente y sin mirarme dijeron que el acné progresaba adecuadamente. Me marché con mala imagen pero imaginé que tendrían trabajo acumulado después de la cuarentena. Hoy volví por el cabello después de unos meses como me habían indicado, remití por correo unos análisis que me mandó la doctora; cuando llegué no sabían quién era, me llamaron por un nombre incorrecto y abrieron fichas de otros pacientes. Al venir la doctora me preguntó " ¿qué te trae por aquí?", se lo recordé y no se acordaba de mí, volvió a hacerme las mismas pruebas del otro día. Le dije que ya las habíamos hecho y me remitió a su despacho; allí no había mirado los análisis que adjunté hacía unas semanas. Los miró en el momento y me recomendó un tratamiento pero no sabía dónde tenía el folleto; la secretaria y ella empezaron a abrir cajones para intentar buscarlo durante un buen rato. A continuación le pregunté en qué consistía el procedimiento y me respondió "¿cómo que en qué consiste? es un tratamiento para el pelo, se emplea a gusto del consumidor". No fue capaz de responder a la efectividad, número de sesiones... En definitiva, no había preparado en absoluto la consulta. También fui para revisar el acné y no me miró, me mandó quitarme la mascarilla y me dijo que estaba mucho mejor. Es imposible porque no se acordaba de mí y no miró las fotos de hace unos meses. Al finalizar la consulta salió del despacho a la vez que hablaba. En definitiva, nula preparación de la consulta ni atención al paciente. Me cobraron 50 euros por esta visita. No se me causó mayor perjuicio porque es una cuestión meramente estética pero considero que este trato no es de recibo; si acudo a un especialista me gustaría que supiese responder a mis preguntas, que se acuerde de mi nombre y que revise mi ficha clínica; parecía que la había tomado por sorpresa.
Mi sensación general es que la gestión de la clínica es un completo caos.</t>
  </si>
  <si>
    <t>2021-01-28T21:30:32.615Z</t>
  </si>
  <si>
    <t>Belén Basanta</t>
  </si>
  <si>
    <t>Muy a mi pesar no puedo compartir una buena experiencia en la clínica. He ido con un problema facial y la doctora me atendió con prisa y sin darme un resultado preciso, simplemente de digno a darme un resultado entre interrogaciones, y eso porque entes de irme pregunté que era lo que me pasaba. Lógicamente el resultado no fue el acertado y terminé perdiendo la piel de un lado de la cara debido al fuerte efecto de una de las cremas que me recomendó.
Por otra parte el personal de la clínica incluido la doctora son muy amables, si bien no tan eficientes y eficaces como hubiese esperado.</t>
  </si>
  <si>
    <t>2017-12-07T22:37:09.213Z</t>
  </si>
  <si>
    <t>Victor Piñeiro Mayo</t>
  </si>
  <si>
    <t>Fatal. No se lo recomiendo a nadie!!!!!
Fui hace un mes a una consulta, por un brote de psoriasis que me salio, y el medico que me atendio no miro casi para mi, 10min duro la consulta. Eso si..... 80€ que me dio ganas de no pagarlos!!!!!!!!!!!</t>
  </si>
  <si>
    <t>2021-02-18T00:17:05.869Z</t>
  </si>
  <si>
    <t>MARIA CARMEN ROMERO BALEIRON</t>
  </si>
  <si>
    <t>LLegué 10 minutos tarde por imposibilidad de aparcamiento y se fue la doctora, ni se molestaron en llamarme (me pregunto para que me pidieron el teléfono) a pesar de que cuando pedí la cita me dijeron que me atendería con retraso.</t>
  </si>
  <si>
    <t>2023-03-19T19:33:38.508Z</t>
  </si>
  <si>
    <t>oscar garcia</t>
  </si>
  <si>
    <t>80 euros por una consulta que no soluciona nada, no vale la pena, si por lo menos no sabes solucionar el problema , no cobres</t>
  </si>
  <si>
    <t>2018-09-21T11:59:15.848Z</t>
  </si>
  <si>
    <t>Sarah 45683</t>
  </si>
  <si>
    <t>Una de mis peores experiencias. 0 profesionalidad, horrible.</t>
  </si>
  <si>
    <t>2020-10-22T14:53:50.063Z</t>
  </si>
  <si>
    <t>Juan jesus Garcia chan</t>
  </si>
  <si>
    <t>2023-05-13T00:02:34.084Z</t>
  </si>
  <si>
    <t>Virginia Juanatey Blanco</t>
  </si>
  <si>
    <t>Acudí por un problema de acné a la clínica, fui atendida por el doctor Torregros, me recetó una pastilla anticonceptiva fotosensible,en plena primavera,  sin advertirme que podrían salirme manchas, resultado, a las pocas semanas la cara llena de manchas (melasma)  una enfermedad de la piel que no tiene cura, cuidado en las manos que os ponéis porque te pueden arruinar la cara. Volví a la clínica con el paso del tiempo a poner una reclamación, fueron muy amables conmigo y me dijeron que se harían responsable del tratamiento, cosa que estoy agradecida, pero el melasma no tiene cura. Que haya ido a un profesional, pagando una consulta, y el resultado sea este, es muy frustrante, de todos modos, gracias a la clínica por la atención que me dieron</t>
  </si>
  <si>
    <t>2024-03-14T08:41:13.546Z</t>
  </si>
  <si>
    <t>Dra Virginia Benitez Roig Aesthetics Marbella</t>
  </si>
  <si>
    <t>N-340, Km. 175, Nueva Andalucía, 29660 Marbella, Málaga, Spain</t>
  </si>
  <si>
    <t>+34 697 19 56 94</t>
  </si>
  <si>
    <t>complaints@slottio.com</t>
  </si>
  <si>
    <t>Elena Ayzenberg</t>
  </si>
  <si>
    <t>Quoted 450€ initially, then after consultation suddenly 1,300€ for the same issue. I had already shared photos beforehand, so the price jump felt unjustified. Found a comparable treatment at a reputable clinic for ~500€. Very disappointing experience and poor pricing transparency.</t>
  </si>
  <si>
    <t>2026-04-09T16:11:07.118Z</t>
  </si>
  <si>
    <t>alejandra taladriz</t>
  </si>
  <si>
    <t>Very bad experience. I went for a laser hair removal follow-up treatment and came out with burns on my arms, stomach and leg.I will upload the photos soon so that you can be careful with this site.</t>
  </si>
  <si>
    <t>2025-12-09T11:29:04.981Z</t>
  </si>
  <si>
    <t>Oscar</t>
  </si>
  <si>
    <t>My wife went to this place for a tattoo removal. Was told that they could remove it within 6 sessions. The tattoo was not gone after 6 sessions and suggested more times. The more they did it the more pain she would be in. She bled and blistered after her tattoo removal sessions. They only told her that she needed more sessions. Even after she started to get burn scars on her tattoo. We have now found a better place. They explained everything well and it doesn't hurt when she gets a session done. I think Dra. Virginia has outdated machines. No care of patients only business in my opinion.</t>
  </si>
  <si>
    <t>2021-10-12T20:55:12.969Z</t>
  </si>
  <si>
    <t>Alisa Eliseeva</t>
  </si>
  <si>
    <t>I can with the problem with post acne , and after 2 pilling my skin is completely ruined . I don’t want to publish my photos as it is private , but it is all red and full of irritation after almost 2 months . Be careful , all they want is money and don’t care how you will look after . I just wish I could sue this clinic</t>
  </si>
  <si>
    <t>2022-02-24T11:36:06.698Z</t>
  </si>
  <si>
    <t>Alex N</t>
  </si>
  <si>
    <t>Sus precios son hasta 5 vezes mas caros que en otros clinicas.
Ten cuidado. Pide mas presupeustos y vete a Malaga y hospitales como Xanit o Quiron donde hay doctores de verdad.
Virginia no hace girurgia plastica y te ofrece tratamientos que le confiene a ella para ganar dinero.  Es un comercial muy buena y te puede confencer con sus mentidas. Habla mucho, pero no creas todo lo que dice con su cara bonita.
Ella no tiene nada que ver con Helicopteros Sanitarios, solo abrovecha su fama y tiene su clinica en mismo edificio con hospital. Es muy listo... y rica :(
(John no es mi nombre verdadero)</t>
  </si>
  <si>
    <t>2020-01-22T11:57:12.046Z</t>
  </si>
  <si>
    <t>Arlene Mc'Fly</t>
  </si>
  <si>
    <t>Precios exorbitados para tratamientos que ofrecen resultados a largo plazo sin ningún tipo de garantía. La recepcionista se empeña en vender tratamientos de rejuvenecimiento facial sin tener en consideración que ella no se los aplica o aún no le han hecho efecto.</t>
  </si>
  <si>
    <t>2019-03-03T10:03:08.020Z</t>
  </si>
  <si>
    <t>CHRISTA WELSCH LEHMANN</t>
  </si>
  <si>
    <t>Poor consultation. I had no idea how painful the treatment around the eye area would be. I never would have imagined that even weeks later my eyelids would still be swollen, my eyes smaller, and everything still pink. I can’t go out without makeup. I’m absolutely disappointed. The aftercare, however, was very good.</t>
  </si>
  <si>
    <t>2025-10-18T10:15:04.876Z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</si>
</sst>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26"/>
  <sheetViews>
    <sheetView tabSelected="1" workbookViewId="0"/>
  </sheetViews>
  <sheetFormatPr defaultRowHeight="15"/>
  <cols>
    <col min="1" max="1" width="81.7109375" customWidth="1"/>
    <col min="2" max="2" width="90.7109375" customWidth="1"/>
    <col min="3" max="3" width="19.7109375" customWidth="1"/>
    <col min="4" max="4" width="40.7109375" customWidth="1"/>
    <col min="5" max="5" width="16.7109375" customWidth="1"/>
    <col min="6" max="6" width="18.7109375" customWidth="1"/>
    <col min="7" max="7" width="42.7109375" customWidth="1"/>
    <col min="8" max="8" width="15.7109375" customWidth="1"/>
    <col min="9" max="9" width="3578.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f>HYPERLINK("https://www.clinicaimif.com/", "Visit Website")</f>
        <v>0</v>
      </c>
      <c r="F2" s="4">
        <v>3.9</v>
      </c>
      <c r="G2" s="5" t="s">
        <v>16</v>
      </c>
      <c r="H2" s="4">
        <v>1</v>
      </c>
      <c r="I2" s="2" t="s">
        <v>17</v>
      </c>
      <c r="J2" s="4" t="s">
        <v>18</v>
      </c>
      <c r="K2" s="3" t="str">
        <f>HYPERLINK("https://www.google.com/maps/reviews/data=!4m8!14m7!1m6!2m5!1sChdDSUhNMG9nS0VJQ0FnSUNHby1tXzVRRRAB!2m1!1s0x0:0x56cfd34439bc3f4a!3m1!1s2@1:CIHM0ogKEICAgICGo-m_5QE%7C%7C?hl=en", "View Link")</f>
        <v>View Link</v>
      </c>
      <c r="L2" s="3">
        <f>HYPERLINK("https://www.google.com/maps/search/?api=1&amp;query=Cl%C3%ADnica%20IMIF&amp;query_place_id=ChIJ-VA3rbtGmRIRSj-8OUTTz1Y", "Open Map")</f>
        <v>0</v>
      </c>
    </row>
    <row r="3" spans="1:12" ht="20" customHeight="1">
      <c r="A3" s="2"/>
      <c r="B3" s="2"/>
      <c r="C3" s="2"/>
      <c r="D3" s="2"/>
      <c r="E3" s="3"/>
      <c r="F3" s="4"/>
      <c r="G3" s="5" t="s">
        <v>19</v>
      </c>
      <c r="H3" s="4">
        <v>1</v>
      </c>
      <c r="I3" s="2" t="s">
        <v>20</v>
      </c>
      <c r="J3" s="4" t="s">
        <v>21</v>
      </c>
      <c r="K3" s="3" t="str">
        <f>HYPERLINK("https://www.google.com/maps/reviews/data=!4m8!14m7!1m6!2m5!1sCi9DQUlRQUNvZENodHljRjlvT2xKWlpFMU1lVGN5T0dGYWFqbHNTMHgwV0ZWTWIzYxAB!2m1!1s0x0:0x56cfd34439bc3f4a!3m1!1s2@1:CAIQACodChtycF9oOlJZZE1MeTcyOGFaajlsS0x0WFVMb3c%7C%7C?hl=en",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HYPERLINK("https://www.google.com/maps/reviews/data=!4m8!14m7!1m6!2m5!1sCi9DQUlRQUNvZENodHljRjlvT2pSNFRtcE5NbEpGVTNaRmFtcFRiR0ozTWtGNldrRRAB!2m1!1s0x0:0x56cfd34439bc3f4a!3m1!1s2@1:CAIQACodChtycF9oOjR4TmpNMlJFU3ZFampTbGJ3MkF6WkE%7C%7C?hl=en",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HYPERLINK("https://www.google.com/maps/reviews/data=!4m8!14m7!1m6!2m5!1sCi9DQUlRQUNvZENodHljRjlvT25ock5rNURaMGR4ZW5KcFdtRllkbXBCWDNKVGFFRRAB!2m1!1s0x0:0x56cfd34439bc3f4a!3m1!1s2@1:CAIQACodChtycF9oOnhrNk5DZ0dxenJpWmFYdmpBX3JTaEE%7C%7C?hl=en", "View Link")</f>
        <v>View Link</v>
      </c>
      <c r="L5" s="3"/>
    </row>
    <row r="6" spans="1:12" ht="20" customHeight="1">
      <c r="A6" s="2"/>
      <c r="B6" s="2"/>
      <c r="C6" s="2"/>
      <c r="D6" s="2"/>
      <c r="E6" s="3"/>
      <c r="F6" s="4"/>
      <c r="G6" s="5" t="s">
        <v>28</v>
      </c>
      <c r="H6" s="4">
        <v>1</v>
      </c>
      <c r="I6" s="2" t="s">
        <v>29</v>
      </c>
      <c r="J6" s="4" t="s">
        <v>30</v>
      </c>
      <c r="K6" s="3" t="str">
        <f>HYPERLINK("https://www.google.com/maps/reviews/data=!4m8!14m7!1m6!2m5!1sChdDSUhNMG9nS0VJQ0FnTUN3aC1MR3hRRRAB!2m1!1s0x0:0x56cfd34439bc3f4a!3m1!1s2@1:CIHM0ogKEICAgMCwh-LGxQE%7C%7C?hl=en", "View Link")</f>
        <v>View Link</v>
      </c>
      <c r="L6" s="3"/>
    </row>
    <row r="7" spans="1:12" ht="20" customHeight="1">
      <c r="A7" s="2"/>
      <c r="B7" s="2"/>
      <c r="C7" s="2"/>
      <c r="D7" s="2"/>
      <c r="E7" s="3"/>
      <c r="F7" s="4"/>
      <c r="G7" s="5" t="s">
        <v>31</v>
      </c>
      <c r="H7" s="4">
        <v>1</v>
      </c>
      <c r="I7" s="2" t="s">
        <v>32</v>
      </c>
      <c r="J7" s="4" t="s">
        <v>33</v>
      </c>
      <c r="K7" s="3" t="str">
        <f>HYPERLINK("https://www.google.com/maps/reviews/data=!4m8!14m7!1m6!2m5!1sCi9DQUlRQUNvZENodHljRjlvT2tSdlJYZ3RUMVJKYlROMFRHMUxaazVwU2pOemFWRRAB!2m1!1s0x0:0x56cfd34439bc3f4a!3m1!1s2@1:CAIQACodChtycF9oOkRvRXgtT1RJbTN0TG1LZk5pSjNzaVE%7C%7C?hl=en", "View Link")</f>
        <v>View Link</v>
      </c>
      <c r="L7" s="3"/>
    </row>
    <row r="8" spans="1:12" ht="20" customHeight="1">
      <c r="A8" s="2"/>
      <c r="B8" s="2"/>
      <c r="C8" s="2"/>
      <c r="D8" s="2"/>
      <c r="E8" s="3"/>
      <c r="F8" s="4"/>
      <c r="G8" s="5" t="s">
        <v>34</v>
      </c>
      <c r="H8" s="4">
        <v>1</v>
      </c>
      <c r="I8" s="2" t="s">
        <v>35</v>
      </c>
      <c r="J8" s="4" t="s">
        <v>36</v>
      </c>
      <c r="K8" s="3" t="str">
        <f>HYPERLINK("https://www.google.com/maps/reviews/data=!4m8!14m7!1m6!2m5!1sCi9DQUlRQUNvZENodHljRjlvT201bVpITnNlbkpSV2kwMmJGcGpTM0EzUlZreWNuYxAB!2m1!1s0x0:0x56cfd34439bc3f4a!3m1!1s2@1:CAIQACodChtycF9oOm5mZHNsenJRWi02bFpjS3A3RVkycnc%7C%7C?hl=en", "View Link")</f>
        <v>View Link</v>
      </c>
      <c r="L8" s="3"/>
    </row>
    <row r="9" spans="1:12" ht="20" customHeight="1">
      <c r="A9" s="2"/>
      <c r="B9" s="2"/>
      <c r="C9" s="2"/>
      <c r="D9" s="2"/>
      <c r="E9" s="3"/>
      <c r="F9" s="4"/>
      <c r="G9" s="5" t="s">
        <v>37</v>
      </c>
      <c r="H9" s="4">
        <v>1</v>
      </c>
      <c r="I9" s="2" t="s">
        <v>38</v>
      </c>
      <c r="J9" s="4" t="s">
        <v>39</v>
      </c>
      <c r="K9" s="3" t="str">
        <f>HYPERLINK("https://www.google.com/maps/reviews/data=!4m8!14m7!1m6!2m5!1sCi9DQUlRQUNvZENodHljRjlvT2xwRFZuUkNlR1JsTmtGZlUyWjFVamd6UW5WT1RuYxAB!2m1!1s0x0:0x56cfd34439bc3f4a!3m1!1s2@1:CAIQACodChtycF9oOlpDVnRCeGRlNkFfU2Z1UjgzQnVOTnc%7C%7C?hl=en", "View Link")</f>
        <v>View Link</v>
      </c>
      <c r="L9" s="3"/>
    </row>
    <row r="10" spans="1:12" ht="20" customHeight="1">
      <c r="A10" s="2"/>
      <c r="B10" s="2"/>
      <c r="C10" s="2"/>
      <c r="D10" s="2"/>
      <c r="E10" s="3"/>
      <c r="F10" s="4"/>
      <c r="G10" s="5" t="s">
        <v>40</v>
      </c>
      <c r="H10" s="4">
        <v>1</v>
      </c>
      <c r="I10" s="2" t="s">
        <v>41</v>
      </c>
      <c r="J10" s="4" t="s">
        <v>42</v>
      </c>
      <c r="K10" s="3" t="str">
        <f>HYPERLINK("https://www.google.com/maps/reviews/data=!4m8!14m7!1m6!2m5!1sCi9DQUlRQUNvZENodHljRjlvT2xCeFlXcGxWREJDV1Y5SGNHODVNMWhxVjBkWlIwRRAB!2m1!1s0x0:0x56cfd34439bc3f4a!3m1!1s2@1:CAIQACodChtycF9oOlBxYWplVDBCWV9HcG85M1hqV0dZR0E%7C%7C?hl=en", "View Link")</f>
        <v>View Link</v>
      </c>
      <c r="L10" s="3"/>
    </row>
    <row r="11" spans="1:12" ht="20" customHeight="1">
      <c r="A11" s="2"/>
      <c r="B11" s="2"/>
      <c r="C11" s="2"/>
      <c r="D11" s="2"/>
      <c r="E11" s="3"/>
      <c r="F11" s="4"/>
      <c r="G11" s="5" t="s">
        <v>43</v>
      </c>
      <c r="H11" s="4">
        <v>1</v>
      </c>
      <c r="I11" s="2" t="s">
        <v>44</v>
      </c>
      <c r="J11" s="4" t="s">
        <v>45</v>
      </c>
      <c r="K11" s="3" t="str">
        <f>HYPERLINK("https://www.google.com/maps/reviews/data=!4m8!14m7!1m6!2m5!1sChZDSUhNMG9nS0VJQ0FnTURRaTgzeWJ3EAE!2m1!1s0x0:0x56cfd34439bc3f4a!3m1!1s2@1:CIHM0ogKEICAgMDQi83ybw%7C%7C?hl=en", "View Link")</f>
        <v>View Link</v>
      </c>
      <c r="L11" s="3"/>
    </row>
    <row r="12" spans="1:12" ht="20" customHeight="1">
      <c r="A12" s="2"/>
      <c r="B12" s="2"/>
      <c r="C12" s="2"/>
      <c r="D12" s="2"/>
      <c r="E12" s="3"/>
      <c r="F12" s="4"/>
      <c r="G12" s="5" t="s">
        <v>46</v>
      </c>
      <c r="H12" s="4">
        <v>1</v>
      </c>
      <c r="I12" s="2" t="s">
        <v>47</v>
      </c>
      <c r="J12" s="4" t="s">
        <v>48</v>
      </c>
      <c r="K12" s="3" t="str">
        <f>HYPERLINK("https://www.google.com/maps/reviews/data=!4m8!14m7!1m6!2m5!1sChZDSUhNMG9nS0VJQ0FnSURSekx1aU9BEAE!2m1!1s0x0:0x56cfd34439bc3f4a!3m1!1s2@1:CIHM0ogKEICAgIDRzLuiOA%7C%7C?hl=en", "View Link")</f>
        <v>View Link</v>
      </c>
      <c r="L12" s="3"/>
    </row>
    <row r="13" spans="1:12" ht="20" customHeight="1">
      <c r="A13" s="2"/>
      <c r="B13" s="2"/>
      <c r="C13" s="2"/>
      <c r="D13" s="2"/>
      <c r="E13" s="3"/>
      <c r="F13" s="4"/>
      <c r="G13" s="5" t="s">
        <v>49</v>
      </c>
      <c r="H13" s="4">
        <v>1</v>
      </c>
      <c r="I13" s="2" t="s">
        <v>50</v>
      </c>
      <c r="J13" s="4" t="s">
        <v>51</v>
      </c>
      <c r="K13" s="3" t="str">
        <f>HYPERLINK("https://www.google.com/maps/reviews/data=!4m8!14m7!1m6!2m5!1sChdDSUhNMG9nS0VJQ0FnSURIMlo3MGdnRRAB!2m1!1s0x0:0x56cfd34439bc3f4a!3m1!1s2@1:CIHM0ogKEICAgIDH2Z70ggE%7C%7C?hl=en", "View Link")</f>
        <v>View Link</v>
      </c>
      <c r="L13" s="3"/>
    </row>
    <row r="14" spans="1:12" ht="20" customHeight="1">
      <c r="A14" s="2"/>
      <c r="B14" s="2"/>
      <c r="C14" s="2"/>
      <c r="D14" s="2"/>
      <c r="E14" s="3"/>
      <c r="F14" s="4"/>
      <c r="G14" s="5" t="s">
        <v>52</v>
      </c>
      <c r="H14" s="4">
        <v>1</v>
      </c>
      <c r="I14" s="2" t="s">
        <v>53</v>
      </c>
      <c r="J14" s="4" t="s">
        <v>54</v>
      </c>
      <c r="K14" s="3" t="str">
        <f>HYPERLINK("https://www.google.com/maps/reviews/data=!4m8!14m7!1m6!2m5!1sChZDSUhNMG9nS0VJQ0FnSURMa05qNUN3EAE!2m1!1s0x0:0x56cfd34439bc3f4a!3m1!1s2@1:CIHM0ogKEICAgIDLkNj5Cw%7C%7C?hl=en", "View Link")</f>
        <v>View Link</v>
      </c>
      <c r="L14" s="3"/>
    </row>
    <row r="15" spans="1:12" ht="20" customHeight="1">
      <c r="A15" s="2"/>
      <c r="B15" s="2"/>
      <c r="C15" s="2"/>
      <c r="D15" s="2"/>
      <c r="E15" s="3"/>
      <c r="F15" s="4"/>
      <c r="G15" s="5" t="s">
        <v>55</v>
      </c>
      <c r="H15" s="4">
        <v>1</v>
      </c>
      <c r="I15" s="2" t="s">
        <v>56</v>
      </c>
      <c r="J15" s="4" t="s">
        <v>57</v>
      </c>
      <c r="K15" s="3" t="str">
        <f>HYPERLINK("https://www.google.com/maps/reviews/data=!4m8!14m7!1m6!2m5!1sChdDSUhNMG9nS0VJQ0FnSURwdWVIWW5nRRAB!2m1!1s0x0:0x56cfd34439bc3f4a!3m1!1s2@1:CIHM0ogKEICAgIDpueHYngE%7C%7C?hl=en", "View Link")</f>
        <v>View Link</v>
      </c>
      <c r="L15" s="3"/>
    </row>
    <row r="16" spans="1:12" ht="20" customHeight="1">
      <c r="A16" s="2"/>
      <c r="B16" s="2"/>
      <c r="C16" s="2"/>
      <c r="D16" s="2"/>
      <c r="E16" s="3"/>
      <c r="F16" s="4"/>
      <c r="G16" s="5" t="s">
        <v>58</v>
      </c>
      <c r="H16" s="4">
        <v>1</v>
      </c>
      <c r="I16" s="2" t="s">
        <v>59</v>
      </c>
      <c r="J16" s="4" t="s">
        <v>60</v>
      </c>
      <c r="K16" s="3" t="str">
        <f>HYPERLINK("https://www.google.com/maps/reviews/data=!4m8!14m7!1m6!2m5!1sChdDSUhNMG9nS0VJQ0FnSURCbEl2a3RRRRAB!2m1!1s0x0:0x56cfd34439bc3f4a!3m1!1s2@1:CIHM0ogKEICAgIDBlIvktQE%7C%7C?hl=en", "View Link")</f>
        <v>View Link</v>
      </c>
      <c r="L16" s="3"/>
    </row>
    <row r="17" spans="1:12" ht="20" customHeight="1">
      <c r="A17" s="2"/>
      <c r="B17" s="2"/>
      <c r="C17" s="2"/>
      <c r="D17" s="2"/>
      <c r="E17" s="3"/>
      <c r="F17" s="4"/>
      <c r="G17" s="5" t="s">
        <v>61</v>
      </c>
      <c r="H17" s="4">
        <v>1</v>
      </c>
      <c r="I17" s="2" t="s">
        <v>62</v>
      </c>
      <c r="J17" s="4" t="s">
        <v>63</v>
      </c>
      <c r="K17" s="3" t="str">
        <f>HYPERLINK("https://www.google.com/maps/reviews/data=!4m8!14m7!1m6!2m5!1sChdDSUhNMG9nS0VJQ0FnSUNKcm9Ub2pRRRAB!2m1!1s0x0:0x56cfd34439bc3f4a!3m1!1s2@1:CIHM0ogKEICAgICJroTojQE%7C%7C?hl=en", "View Link")</f>
        <v>View Link</v>
      </c>
      <c r="L17" s="3"/>
    </row>
    <row r="18" spans="1:12" ht="20" customHeight="1">
      <c r="A18" s="2"/>
      <c r="B18" s="2"/>
      <c r="C18" s="2"/>
      <c r="D18" s="2"/>
      <c r="E18" s="3"/>
      <c r="F18" s="4"/>
      <c r="G18" s="5" t="s">
        <v>64</v>
      </c>
      <c r="H18" s="4">
        <v>1</v>
      </c>
      <c r="I18" s="2" t="s">
        <v>65</v>
      </c>
      <c r="J18" s="4" t="s">
        <v>66</v>
      </c>
      <c r="K18" s="3" t="str">
        <f>HYPERLINK("https://www.google.com/maps/reviews/data=!4m8!14m7!1m6!2m5!1sChZDSUhNMG9nS0VJQ0FnSUNiaGRyTUZnEAE!2m1!1s0x0:0x56cfd34439bc3f4a!3m1!1s2@1:CIHM0ogKEICAgICbhdrMFg%7C%7C?hl=en", "View Link")</f>
        <v>View Link</v>
      </c>
      <c r="L18" s="3"/>
    </row>
    <row r="19" spans="1:12" ht="20" customHeight="1">
      <c r="A19" s="2"/>
      <c r="B19" s="2"/>
      <c r="C19" s="2"/>
      <c r="D19" s="2"/>
      <c r="E19" s="3"/>
      <c r="F19" s="4"/>
      <c r="G19" s="5" t="s">
        <v>67</v>
      </c>
      <c r="H19" s="4">
        <v>1</v>
      </c>
      <c r="I19" s="2" t="s">
        <v>68</v>
      </c>
      <c r="J19" s="4" t="s">
        <v>69</v>
      </c>
      <c r="K19" s="3" t="str">
        <f>HYPERLINK("https://www.google.com/maps/reviews/data=!4m8!14m7!1m6!2m5!1sCi9DQUlRQUNvZENodHljRjlvT2sxYVJqVTVVa1ZJTWs1eVdVRlRSMnhHVGt0elkyYxAB!2m1!1s0x0:0x56cfd34439bc3f4a!3m1!1s2@1:CAIQACodChtycF9oOk1aRjU5UkVIMk5yWUFTR2xGTktzY2c%7C%7C?hl=en", "View Link")</f>
        <v>View Link</v>
      </c>
      <c r="L19" s="3"/>
    </row>
    <row r="20" spans="1:12" ht="20" customHeight="1">
      <c r="A20" s="2"/>
      <c r="B20" s="2"/>
      <c r="C20" s="2"/>
      <c r="D20" s="2"/>
      <c r="E20" s="3"/>
      <c r="F20" s="4"/>
      <c r="G20" s="5" t="s">
        <v>70</v>
      </c>
      <c r="H20" s="4">
        <v>1</v>
      </c>
      <c r="I20" s="2" t="s">
        <v>71</v>
      </c>
      <c r="J20" s="4" t="s">
        <v>72</v>
      </c>
      <c r="K20" s="3" t="str">
        <f>HYPERLINK("https://www.google.com/maps/reviews/data=!4m8!14m7!1m6!2m5!1sChZDSUhNMG9nS0VJQ0FnSUMtdnJYRU1REAE!2m1!1s0x0:0x56cfd34439bc3f4a!3m1!1s2@1:CIHM0ogKEICAgIC-vrXEMQ%7C%7C?hl=en", "View Link")</f>
        <v>View Link</v>
      </c>
      <c r="L20" s="3"/>
    </row>
    <row r="21" spans="1:12" ht="20" customHeight="1">
      <c r="A21" s="2"/>
      <c r="B21" s="2"/>
      <c r="C21" s="2"/>
      <c r="D21" s="2"/>
      <c r="E21" s="3"/>
      <c r="F21" s="4"/>
      <c r="G21" s="5" t="s">
        <v>73</v>
      </c>
      <c r="H21" s="4">
        <v>1</v>
      </c>
      <c r="I21" s="2" t="s">
        <v>74</v>
      </c>
      <c r="J21" s="4" t="s">
        <v>75</v>
      </c>
      <c r="K21" s="3" t="str">
        <f>HYPERLINK("https://www.google.com/maps/reviews/data=!4m8!14m7!1m6!2m5!1sCi9DQUlRQUNvZENodHljRjlvT25KQ2NtZzBNVFpZTVhWNVZtczBZMWhJUm1OMlQyYxAB!2m1!1s0x0:0x56cfd34439bc3f4a!3m1!1s2@1:CAIQACodChtycF9oOnJCcmg0MTZYMXV5Vms0Y1hIRmN2T2c%7C%7C?hl=en", "View Link")</f>
        <v>View Link</v>
      </c>
      <c r="L21" s="3"/>
    </row>
    <row r="22" spans="1:12" ht="20" customHeight="1">
      <c r="A22" s="2" t="s">
        <v>76</v>
      </c>
      <c r="B22" s="2" t="s">
        <v>77</v>
      </c>
      <c r="C22" s="2" t="s">
        <v>78</v>
      </c>
      <c r="D22" s="2" t="s">
        <v>79</v>
      </c>
      <c r="E22" s="3">
        <f>HYPERLINK("https://meditenclinics.com/", "Visit Website")</f>
        <v>0</v>
      </c>
      <c r="F22" s="4">
        <v>4.2</v>
      </c>
      <c r="G22" s="5" t="s">
        <v>80</v>
      </c>
      <c r="H22" s="4">
        <v>1</v>
      </c>
      <c r="I22" s="2" t="s">
        <v>81</v>
      </c>
      <c r="J22" s="4" t="s">
        <v>82</v>
      </c>
      <c r="K22" s="3" t="str">
        <f>HYPERLINK("https://www.google.com/maps/reviews/data=!4m8!14m7!1m6!2m5!1sCi9DQUlRQUNvZENodHljRjlvT2pWb1FubFNWVGsxTlZwbGFYSmFTM2hEWWpCS2NsRRAB!2m1!1s0x0:0xd27d60d7a83a0f27!3m1!1s2@1:CAIQACodChtycF9oOjVoQnlSVTk1NVplaXJaS3hDYjBKclE%7C%7C?hl=en", "View Link")</f>
        <v>View Link</v>
      </c>
      <c r="L22" s="3">
        <f>HYPERLINK("https://www.google.com/maps/search/?api=1&amp;query=Mediten%20Clinics%20%7C%20Arona&amp;query_place_id=ChIJQ2lDwZeZagwRJw86qNdgfdI", "Open Map")</f>
        <v>0</v>
      </c>
    </row>
    <row r="23" spans="1:12" ht="20" customHeight="1">
      <c r="A23" s="2"/>
      <c r="B23" s="2"/>
      <c r="C23" s="2"/>
      <c r="D23" s="2"/>
      <c r="E23" s="3"/>
      <c r="F23" s="4"/>
      <c r="G23" s="5" t="s">
        <v>83</v>
      </c>
      <c r="H23" s="4">
        <v>1</v>
      </c>
      <c r="I23" s="2" t="s">
        <v>84</v>
      </c>
      <c r="J23" s="4" t="s">
        <v>85</v>
      </c>
      <c r="K23" s="3" t="str">
        <f>HYPERLINK("https://www.google.com/maps/reviews/data=!4m8!14m7!1m6!2m5!1sCi9DQUlRQUNvZENodHljRjlvT2s1bmIyMUNiVGhrUTFwaFkyVXdURVJpUmpSMmJFRRAB!2m1!1s0x0:0xd27d60d7a83a0f27!3m1!1s2@1:CAIQACodChtycF9oOk5nb21CbThkQ1phY2UwTERiRjR2bEE%7C%7C?hl=en", "View Link")</f>
        <v>View Link</v>
      </c>
      <c r="L23" s="3"/>
    </row>
    <row r="24" spans="1:12" ht="20" customHeight="1">
      <c r="A24" s="5" t="s">
        <v>86</v>
      </c>
      <c r="B24" s="5" t="s">
        <v>87</v>
      </c>
      <c r="C24" s="5" t="s">
        <v>88</v>
      </c>
      <c r="D24" s="5" t="s">
        <v>89</v>
      </c>
      <c r="E24" s="5" t="s">
        <v>89</v>
      </c>
      <c r="F24" s="4">
        <v>1</v>
      </c>
      <c r="G24" s="5" t="s">
        <v>90</v>
      </c>
      <c r="H24" s="4">
        <v>1</v>
      </c>
      <c r="I24" s="2" t="s">
        <v>91</v>
      </c>
      <c r="J24" s="4" t="s">
        <v>92</v>
      </c>
      <c r="K24" s="3" t="str">
        <f>HYPERLINK("https://www.google.com/maps/reviews/data=!4m8!14m7!1m6!2m5!1sChZDSUhNMG9nS0VJQ0FnSURnbzVXVEtBEAE!2m1!1s0x0:0xe9e9f77bf0088870!3m1!1s2@1:CIHM0ogKEICAgIDgo5WTKA%7C%7C?hl=en-US", "View Link")</f>
        <v>View Link</v>
      </c>
      <c r="L24" s="3" t="str">
        <f>HYPERLINK("https://www.google.com/maps/search/?api=1&amp;query=Oxia&amp;query_place_id=ChIJN8bBKcF7pRIRcIgI8Hv36ek", "Open Map")</f>
        <v>Open Map</v>
      </c>
    </row>
    <row r="25" spans="1:12" ht="20" customHeight="1">
      <c r="A25" s="2" t="s">
        <v>93</v>
      </c>
      <c r="B25" s="2" t="s">
        <v>94</v>
      </c>
      <c r="C25" s="2" t="s">
        <v>95</v>
      </c>
      <c r="D25" s="2" t="s">
        <v>96</v>
      </c>
      <c r="E25" s="3">
        <f>HYPERLINK("http://www.dermatologogijon.es/", "Visit Website")</f>
        <v>0</v>
      </c>
      <c r="F25" s="4">
        <v>4.1</v>
      </c>
      <c r="G25" s="5" t="s">
        <v>97</v>
      </c>
      <c r="H25" s="4">
        <v>1</v>
      </c>
      <c r="I25" s="2" t="s">
        <v>98</v>
      </c>
      <c r="J25" s="4" t="s">
        <v>99</v>
      </c>
      <c r="K25" s="3" t="str">
        <f>HYPERLINK("https://www.google.com/maps/reviews/data=!4m8!14m7!1m6!2m5!1sChdDSUhNMG9nS0VJQ0FnSUNyLThmenhRRRAB!2m1!1s0x0:0x320a65def5629030!3m1!1s2@1:CIHM0ogKEICAgICr-8fzxQE%7C%7C?hl=en", "View Link")</f>
        <v>View Link</v>
      </c>
      <c r="L25" s="3">
        <f>HYPERLINK("https://www.google.com/maps/search/?api=1&amp;query=Derma%C3%B1ueco&amp;query_place_id=ChIJT5N2TH17Ng0RMJBi9d5lCjI", "Open Map")</f>
        <v>0</v>
      </c>
    </row>
    <row r="26" spans="1:12" ht="20" customHeight="1">
      <c r="A26" s="2"/>
      <c r="B26" s="2"/>
      <c r="C26" s="2"/>
      <c r="D26" s="2"/>
      <c r="E26" s="3"/>
      <c r="F26" s="4"/>
      <c r="G26" s="5" t="s">
        <v>100</v>
      </c>
      <c r="H26" s="4">
        <v>1</v>
      </c>
      <c r="I26" s="2" t="s">
        <v>101</v>
      </c>
      <c r="J26" s="4" t="s">
        <v>102</v>
      </c>
      <c r="K26" s="3" t="str">
        <f>HYPERLINK("https://www.google.com/maps/reviews/data=!4m8!14m7!1m6!2m5!1sChdDSUhNMG9nS0VJQ0FnSURLNWZuTGtBRRAB!2m1!1s0x0:0x320a65def5629030!3m1!1s2@1:CIHM0ogKEICAgIDK5fnLkAE%7C%7C?hl=en", "View Link")</f>
        <v>View Link</v>
      </c>
      <c r="L26" s="3"/>
    </row>
    <row r="27" spans="1:12" ht="20" customHeight="1">
      <c r="A27" s="2"/>
      <c r="B27" s="2"/>
      <c r="C27" s="2"/>
      <c r="D27" s="2"/>
      <c r="E27" s="3"/>
      <c r="F27" s="4"/>
      <c r="G27" s="5" t="s">
        <v>103</v>
      </c>
      <c r="H27" s="4">
        <v>1</v>
      </c>
      <c r="I27" s="2" t="s">
        <v>104</v>
      </c>
      <c r="J27" s="4" t="s">
        <v>105</v>
      </c>
      <c r="K27" s="3" t="str">
        <f>HYPERLINK("https://www.google.com/maps/reviews/data=!4m8!14m7!1m6!2m5!1sChdDSUhNMG9nS0VJQ0FnSURteTUtRmxRRRAB!2m1!1s0x0:0x320a65def5629030!3m1!1s2@1:CIHM0ogKEICAgIDmy5-FlQE%7C%7C?hl=en", "View Link")</f>
        <v>View Link</v>
      </c>
      <c r="L27" s="3"/>
    </row>
    <row r="28" spans="1:12" ht="20" customHeight="1">
      <c r="A28" s="2"/>
      <c r="B28" s="2"/>
      <c r="C28" s="2"/>
      <c r="D28" s="2"/>
      <c r="E28" s="3"/>
      <c r="F28" s="4"/>
      <c r="G28" s="5" t="s">
        <v>106</v>
      </c>
      <c r="H28" s="4">
        <v>1</v>
      </c>
      <c r="I28" s="2" t="s">
        <v>107</v>
      </c>
      <c r="J28" s="4" t="s">
        <v>108</v>
      </c>
      <c r="K28" s="3" t="str">
        <f>HYPERLINK("https://www.google.com/maps/reviews/data=!4m8!14m7!1m6!2m5!1sChdDSUhNMG9nS0VJQ0FnSUN3amMtNmlnRRAB!2m1!1s0x0:0x320a65def5629030!3m1!1s2@1:CIHM0ogKEICAgICwjc-6igE%7C%7C?hl=en", "View Link")</f>
        <v>View Link</v>
      </c>
      <c r="L28" s="3"/>
    </row>
    <row r="29" spans="1:12" ht="20" customHeight="1">
      <c r="A29" s="2"/>
      <c r="B29" s="2"/>
      <c r="C29" s="2"/>
      <c r="D29" s="2"/>
      <c r="E29" s="3"/>
      <c r="F29" s="4"/>
      <c r="G29" s="5" t="s">
        <v>109</v>
      </c>
      <c r="H29" s="4">
        <v>1</v>
      </c>
      <c r="I29" s="2" t="s">
        <v>110</v>
      </c>
      <c r="J29" s="4" t="s">
        <v>111</v>
      </c>
      <c r="K29" s="3" t="str">
        <f>HYPERLINK("https://www.google.com/maps/reviews/data=!4m8!14m7!1m6!2m5!1sChdDSUhNMG9nS0VJQ0FnSURpOGVxUmpRRRAB!2m1!1s0x0:0x320a65def5629030!3m1!1s2@1:CIHM0ogKEICAgIDi8eqRjQE%7C%7C?hl=en", "View Link")</f>
        <v>View Link</v>
      </c>
      <c r="L29" s="3"/>
    </row>
    <row r="30" spans="1:12" ht="20" customHeight="1">
      <c r="A30" s="2"/>
      <c r="B30" s="2"/>
      <c r="C30" s="2"/>
      <c r="D30" s="2"/>
      <c r="E30" s="3"/>
      <c r="F30" s="4"/>
      <c r="G30" s="5" t="s">
        <v>112</v>
      </c>
      <c r="H30" s="4">
        <v>1</v>
      </c>
      <c r="I30" s="2" t="s">
        <v>113</v>
      </c>
      <c r="J30" s="4" t="s">
        <v>114</v>
      </c>
      <c r="K30" s="3" t="str">
        <f>HYPERLINK("https://www.google.com/maps/reviews/data=!4m8!14m7!1m6!2m5!1sChdDSUhNMG9nS0VJQ0FnSURMNG8yS2l3RRAB!2m1!1s0x0:0x320a65def5629030!3m1!1s2@1:CIHM0ogKEICAgIDL4o2KiwE%7C%7C?hl=en", "View Link")</f>
        <v>View Link</v>
      </c>
      <c r="L30" s="3"/>
    </row>
    <row r="31" spans="1:12" ht="20" customHeight="1">
      <c r="A31" s="2"/>
      <c r="B31" s="2"/>
      <c r="C31" s="2"/>
      <c r="D31" s="2"/>
      <c r="E31" s="3"/>
      <c r="F31" s="4"/>
      <c r="G31" s="5" t="s">
        <v>115</v>
      </c>
      <c r="H31" s="4">
        <v>1</v>
      </c>
      <c r="I31" s="2" t="s">
        <v>116</v>
      </c>
      <c r="J31" s="4" t="s">
        <v>117</v>
      </c>
      <c r="K31" s="3" t="str">
        <f>HYPERLINK("https://www.google.com/maps/reviews/data=!4m8!14m7!1m6!2m5!1sCi9DQUlRQUNvZENodHljRjlvT25GNVQwdDRUbGR5ZWtSRU1uQkpORkE1WnpkNFRsRRAB!2m1!1s0x0:0x320a65def5629030!3m1!1s2@1:CAIQACodChtycF9oOnF5T0t4TldyekREMnBJNFA5Zzd4TlE%7C%7C?hl=en", "View Link")</f>
        <v>View Link</v>
      </c>
      <c r="L31" s="3"/>
    </row>
    <row r="32" spans="1:12" ht="20" customHeight="1">
      <c r="A32" s="2"/>
      <c r="B32" s="2"/>
      <c r="C32" s="2"/>
      <c r="D32" s="2"/>
      <c r="E32" s="3"/>
      <c r="F32" s="4"/>
      <c r="G32" s="5" t="s">
        <v>118</v>
      </c>
      <c r="H32" s="4">
        <v>1</v>
      </c>
      <c r="I32" s="2"/>
      <c r="J32" s="4" t="s">
        <v>119</v>
      </c>
      <c r="K32" s="3" t="str">
        <f>HYPERLINK("https://www.google.com/maps/reviews/data=!4m8!14m7!1m6!2m5!1sChZDSUhNMG9nS0VJQ0FnSUNPdWN1Y2JREAE!2m1!1s0x0:0x320a65def5629030!3m1!1s2@1:CIHM0ogKEICAgICOucucbQ%7C%7C?hl=en", "View Link")</f>
        <v>View Link</v>
      </c>
      <c r="L32" s="3"/>
    </row>
    <row r="33" spans="1:12" ht="20" customHeight="1">
      <c r="A33" s="2"/>
      <c r="B33" s="2"/>
      <c r="C33" s="2"/>
      <c r="D33" s="2"/>
      <c r="E33" s="3"/>
      <c r="F33" s="4"/>
      <c r="G33" s="5" t="s">
        <v>120</v>
      </c>
      <c r="H33" s="4">
        <v>2</v>
      </c>
      <c r="I33" s="2" t="s">
        <v>121</v>
      </c>
      <c r="J33" s="4" t="s">
        <v>122</v>
      </c>
      <c r="K33" s="3" t="str">
        <f>HYPERLINK("https://www.google.com/maps/reviews/data=!4m8!14m7!1m6!2m5!1sCi9DQUlRQUNvZENodHljRjlvT2tGNGVtcG5SazkxYkc1Rk9EUnJRMVV5VTBoWFRVRRAB!2m1!1s0x0:0x320a65def5629030!3m1!1s2@1:CAIQACodChtycF9oOkF4empnRk91bG5FODRrQ1UyU0hXTUE%7C%7C?hl=en", "View Link")</f>
        <v>View Link</v>
      </c>
      <c r="L33" s="3"/>
    </row>
    <row r="34" spans="1:12" ht="20" customHeight="1">
      <c r="A34" s="2" t="s">
        <v>123</v>
      </c>
      <c r="B34" s="2" t="s">
        <v>124</v>
      </c>
      <c r="C34" s="2" t="s">
        <v>125</v>
      </c>
      <c r="D34" s="2" t="s">
        <v>126</v>
      </c>
      <c r="E34" s="3">
        <f>HYPERLINK("https://clinicasportusalud.com/", "Visit Website")</f>
        <v>0</v>
      </c>
      <c r="F34" s="4">
        <v>4.4</v>
      </c>
      <c r="G34" s="5" t="s">
        <v>127</v>
      </c>
      <c r="H34" s="4">
        <v>1</v>
      </c>
      <c r="I34" s="2" t="s">
        <v>128</v>
      </c>
      <c r="J34" s="4" t="s">
        <v>129</v>
      </c>
      <c r="K34" s="3" t="str">
        <f>HYPERLINK("https://www.google.com/maps/reviews/data=!4m8!14m7!1m6!2m5!1sCi9DQUlRQUNvZENodHljRjlvT2xORFQxbEZkR3RRUW5wRVdHMXJXbmd3VlZoMmNtYxAB!2m1!1s0x0:0xbccc2ee3b9ce4cb9!3m1!1s2@1:CAIQACodChtycF9oOlNDT1lFdGtQQnpEWG1rWngwVVh2cmc%7C%7C?hl=en", "View Link")</f>
        <v>View Link</v>
      </c>
      <c r="L34" s="3">
        <f>HYPERLINK("https://www.google.com/maps/search/?api=1&amp;query=For%20Your%20Health%20Clinics&amp;query_place_id=ChIJS_f3CZ6cNg0RuUzOueMuzLw", "Open Map")</f>
        <v>0</v>
      </c>
    </row>
    <row r="35" spans="1:12" ht="20" customHeight="1">
      <c r="A35" s="2"/>
      <c r="B35" s="2"/>
      <c r="C35" s="2"/>
      <c r="D35" s="2"/>
      <c r="E35" s="3"/>
      <c r="F35" s="4"/>
      <c r="G35" s="5" t="s">
        <v>130</v>
      </c>
      <c r="H35" s="4">
        <v>1</v>
      </c>
      <c r="I35" s="2" t="s">
        <v>131</v>
      </c>
      <c r="J35" s="4" t="s">
        <v>132</v>
      </c>
      <c r="K35" s="3" t="str">
        <f>HYPERLINK("https://www.google.com/maps/reviews/data=!4m8!14m7!1m6!2m5!1sCi9DQUlRQUNvZENodHljRjlvT25kRWJHUm5TMUZCY1U5dGJ6TnhhVmQyU0VWRmEzYxAB!2m1!1s0x0:0xbccc2ee3b9ce4cb9!3m1!1s2@1:CAIQACodChtycF9oOndEbGRnS1FBcU9tbzNxaVd2SEVFa3c%7C%7C?hl=en", "View Link")</f>
        <v>View Link</v>
      </c>
      <c r="L35" s="3"/>
    </row>
    <row r="36" spans="1:12" ht="20" customHeight="1">
      <c r="A36" s="2"/>
      <c r="B36" s="2"/>
      <c r="C36" s="2"/>
      <c r="D36" s="2"/>
      <c r="E36" s="3"/>
      <c r="F36" s="4"/>
      <c r="G36" s="5" t="s">
        <v>133</v>
      </c>
      <c r="H36" s="4">
        <v>1</v>
      </c>
      <c r="I36" s="2" t="s">
        <v>134</v>
      </c>
      <c r="J36" s="4" t="s">
        <v>135</v>
      </c>
      <c r="K36" s="3" t="str">
        <f>HYPERLINK("https://www.google.com/maps/reviews/data=!4m8!14m7!1m6!2m5!1sCi9DQUlRQUNvZENodHljRjlvT2taNU1HdFNkemd6Y0MxbVVrZHRTSGhKTkZaQ1IxRRAB!2m1!1s0x0:0xbccc2ee3b9ce4cb9!3m1!1s2@1:CAIQACodChtycF9oOkZ5MGtSdzgzcC1mUkdtSHhJNFZCR1E%7C%7C?hl=en", "View Link")</f>
        <v>View Link</v>
      </c>
      <c r="L36" s="3"/>
    </row>
    <row r="37" spans="1:12" ht="20" customHeight="1">
      <c r="A37" s="2"/>
      <c r="B37" s="2"/>
      <c r="C37" s="2"/>
      <c r="D37" s="2"/>
      <c r="E37" s="3"/>
      <c r="F37" s="4"/>
      <c r="G37" s="5" t="s">
        <v>136</v>
      </c>
      <c r="H37" s="4">
        <v>1</v>
      </c>
      <c r="I37" s="2" t="s">
        <v>137</v>
      </c>
      <c r="J37" s="4" t="s">
        <v>138</v>
      </c>
      <c r="K37" s="3" t="str">
        <f>HYPERLINK("https://www.google.com/maps/reviews/data=!4m8!14m7!1m6!2m5!1sCi9DQUlRQUNvZENodHljRjlvT2xwck9EZzFkelZhU1VKVU5uYzVTRVJWWkc4d1luYxAB!2m1!1s0x0:0xbccc2ee3b9ce4cb9!3m1!1s2@1:CAIQACodChtycF9oOlprODg1dzVaSUJUNnc5SERVZG8wYnc%7C%7C?hl=en", "View Link")</f>
        <v>View Link</v>
      </c>
      <c r="L37" s="3"/>
    </row>
    <row r="38" spans="1:12" ht="20" customHeight="1">
      <c r="A38" s="2"/>
      <c r="B38" s="2"/>
      <c r="C38" s="2"/>
      <c r="D38" s="2"/>
      <c r="E38" s="3"/>
      <c r="F38" s="4"/>
      <c r="G38" s="5" t="s">
        <v>139</v>
      </c>
      <c r="H38" s="4">
        <v>1</v>
      </c>
      <c r="I38" s="2" t="s">
        <v>140</v>
      </c>
      <c r="J38" s="4" t="s">
        <v>141</v>
      </c>
      <c r="K38" s="3" t="str">
        <f>HYPERLINK("https://www.google.com/maps/reviews/data=!4m8!14m7!1m6!2m5!1sCi9DQUlRQUNvZENodHljRjlvT2xadFpWVjNaVjlXWkhWdlpFRXlaV3hOU1hCaGRIYxAB!2m1!1s0x0:0xbccc2ee3b9ce4cb9!3m1!1s2@1:CAIQACodChtycF9oOlZtZVV3ZV9WZHVvZEEyZWxNSXBhdHc%7C%7C?hl=en", "View Link")</f>
        <v>View Link</v>
      </c>
      <c r="L38" s="3"/>
    </row>
    <row r="39" spans="1:12" ht="20" customHeight="1">
      <c r="A39" s="2"/>
      <c r="B39" s="2"/>
      <c r="C39" s="2"/>
      <c r="D39" s="2"/>
      <c r="E39" s="3"/>
      <c r="F39" s="4"/>
      <c r="G39" s="5" t="s">
        <v>142</v>
      </c>
      <c r="H39" s="4">
        <v>1</v>
      </c>
      <c r="I39" s="2" t="s">
        <v>143</v>
      </c>
      <c r="J39" s="4" t="s">
        <v>144</v>
      </c>
      <c r="K39" s="3" t="str">
        <f>HYPERLINK("https://www.google.com/maps/reviews/data=!4m8!14m7!1m6!2m5!1sChdDSUhNMG9nS0VNQy1oZHJONHRDUm53RRAB!2m1!1s0x0:0xbccc2ee3b9ce4cb9!3m1!1s2@1:CIHM0ogKEMC-hdrN4tCRnwE%7C%7C?hl=en", "View Link")</f>
        <v>View Link</v>
      </c>
      <c r="L39" s="3"/>
    </row>
    <row r="40" spans="1:12" ht="20" customHeight="1">
      <c r="A40" s="2"/>
      <c r="B40" s="2"/>
      <c r="C40" s="2"/>
      <c r="D40" s="2"/>
      <c r="E40" s="3"/>
      <c r="F40" s="4"/>
      <c r="G40" s="5" t="s">
        <v>145</v>
      </c>
      <c r="H40" s="4">
        <v>1</v>
      </c>
      <c r="I40" s="2" t="s">
        <v>146</v>
      </c>
      <c r="J40" s="4" t="s">
        <v>147</v>
      </c>
      <c r="K40" s="3" t="str">
        <f>HYPERLINK("https://www.google.com/maps/reviews/data=!4m8!14m7!1m6!2m5!1sCi9DQUlRQUNvZENodHljRjlvT2tsbFVrZHFWbWhDZUdOM1pXVXdkblJSUWt4VmVYYxAB!2m1!1s0x0:0xbccc2ee3b9ce4cb9!3m1!1s2@1:CAIQACodChtycF9oOkllUkdqVmhCeGN3ZWUwdnRRQkxVeXc%7C%7C?hl=en", "View Link")</f>
        <v>View Link</v>
      </c>
      <c r="L40" s="3"/>
    </row>
    <row r="41" spans="1:12" ht="20" customHeight="1">
      <c r="A41" s="2"/>
      <c r="B41" s="2"/>
      <c r="C41" s="2"/>
      <c r="D41" s="2"/>
      <c r="E41" s="3"/>
      <c r="F41" s="4"/>
      <c r="G41" s="5" t="s">
        <v>148</v>
      </c>
      <c r="H41" s="4">
        <v>1</v>
      </c>
      <c r="I41" s="2" t="s">
        <v>149</v>
      </c>
      <c r="J41" s="4" t="s">
        <v>150</v>
      </c>
      <c r="K41" s="3" t="str">
        <f>HYPERLINK("https://www.google.com/maps/reviews/data=!4m8!14m7!1m6!2m5!1sChdDSUhNMG9nS0VJQ0FnTUNJeTVMdjZnRRAB!2m1!1s0x0:0xbccc2ee3b9ce4cb9!3m1!1s2@1:CIHM0ogKEICAgMCIy5Lv6gE%7C%7C?hl=en", "View Link")</f>
        <v>View Link</v>
      </c>
      <c r="L41" s="3"/>
    </row>
    <row r="42" spans="1:12" ht="20" customHeight="1">
      <c r="A42" s="2"/>
      <c r="B42" s="2"/>
      <c r="C42" s="2"/>
      <c r="D42" s="2"/>
      <c r="E42" s="3"/>
      <c r="F42" s="4"/>
      <c r="G42" s="5" t="s">
        <v>151</v>
      </c>
      <c r="H42" s="4">
        <v>1</v>
      </c>
      <c r="I42" s="2" t="s">
        <v>152</v>
      </c>
      <c r="J42" s="4" t="s">
        <v>153</v>
      </c>
      <c r="K42" s="3" t="str">
        <f>HYPERLINK("https://www.google.com/maps/reviews/data=!4m8!14m7!1m6!2m5!1sChZDSUhNMG9nS0VJQ0FnSURMM0pfdVVREAE!2m1!1s0x0:0xbccc2ee3b9ce4cb9!3m1!1s2@1:CIHM0ogKEICAgIDL3J_uUQ%7C%7C?hl=en", "View Link")</f>
        <v>View Link</v>
      </c>
      <c r="L42" s="3"/>
    </row>
    <row r="43" spans="1:12" ht="20" customHeight="1">
      <c r="A43" s="2"/>
      <c r="B43" s="2"/>
      <c r="C43" s="2"/>
      <c r="D43" s="2"/>
      <c r="E43" s="3"/>
      <c r="F43" s="4"/>
      <c r="G43" s="5" t="s">
        <v>154</v>
      </c>
      <c r="H43" s="4">
        <v>1</v>
      </c>
      <c r="I43" s="2" t="s">
        <v>155</v>
      </c>
      <c r="J43" s="4" t="s">
        <v>156</v>
      </c>
      <c r="K43" s="3" t="str">
        <f>HYPERLINK("https://www.google.com/maps/reviews/data=!4m8!14m7!1m6!2m5!1sChdDSUhNMG9nS0VJQ0FnTURnc19teGhnRRAB!2m1!1s0x0:0xbccc2ee3b9ce4cb9!3m1!1s2@1:CIHM0ogKEICAgMDgs_mxhgE%7C%7C?hl=en", "View Link")</f>
        <v>View Link</v>
      </c>
      <c r="L43" s="3"/>
    </row>
    <row r="44" spans="1:12" ht="20" customHeight="1">
      <c r="A44" s="2"/>
      <c r="B44" s="2"/>
      <c r="C44" s="2"/>
      <c r="D44" s="2"/>
      <c r="E44" s="3"/>
      <c r="F44" s="4"/>
      <c r="G44" s="5" t="s">
        <v>157</v>
      </c>
      <c r="H44" s="4">
        <v>1</v>
      </c>
      <c r="I44" s="2" t="s">
        <v>158</v>
      </c>
      <c r="J44" s="4" t="s">
        <v>159</v>
      </c>
      <c r="K44" s="3" t="str">
        <f>HYPERLINK("https://www.google.com/maps/reviews/data=!4m8!14m7!1m6!2m5!1sChZDSUhNMG9nS0VJQ0FnSURIck9TcEp3EAE!2m1!1s0x0:0xbccc2ee3b9ce4cb9!3m1!1s2@1:CIHM0ogKEICAgIDHrOSpJw%7C%7C?hl=en", "View Link")</f>
        <v>View Link</v>
      </c>
      <c r="L44" s="3"/>
    </row>
    <row r="45" spans="1:12" ht="20" customHeight="1">
      <c r="A45" s="2"/>
      <c r="B45" s="2"/>
      <c r="C45" s="2"/>
      <c r="D45" s="2"/>
      <c r="E45" s="3"/>
      <c r="F45" s="4"/>
      <c r="G45" s="5" t="s">
        <v>160</v>
      </c>
      <c r="H45" s="4">
        <v>1</v>
      </c>
      <c r="I45" s="2" t="s">
        <v>161</v>
      </c>
      <c r="J45" s="4" t="s">
        <v>162</v>
      </c>
      <c r="K45" s="3" t="str">
        <f>HYPERLINK("https://www.google.com/maps/reviews/data=!4m8!14m7!1m6!2m5!1sChZDSUhNMG9nS0VJQ0FnSURib2J2UVB3EAE!2m1!1s0x0:0xbccc2ee3b9ce4cb9!3m1!1s2@1:CIHM0ogKEICAgIDbobvQPw%7C%7C?hl=en", "View Link")</f>
        <v>View Link</v>
      </c>
      <c r="L45" s="3"/>
    </row>
    <row r="46" spans="1:12" ht="20" customHeight="1">
      <c r="A46" s="2"/>
      <c r="B46" s="2"/>
      <c r="C46" s="2"/>
      <c r="D46" s="2"/>
      <c r="E46" s="3"/>
      <c r="F46" s="4"/>
      <c r="G46" s="5" t="s">
        <v>163</v>
      </c>
      <c r="H46" s="4">
        <v>1</v>
      </c>
      <c r="I46" s="2" t="s">
        <v>164</v>
      </c>
      <c r="J46" s="4" t="s">
        <v>165</v>
      </c>
      <c r="K46" s="3" t="str">
        <f>HYPERLINK("https://www.google.com/maps/reviews/data=!4m8!14m7!1m6!2m5!1sChZDSUhNMG9nS0VJQ0FnSUR0bHF5d0dREAE!2m1!1s0x0:0xbccc2ee3b9ce4cb9!3m1!1s2@1:CIHM0ogKEICAgIDtlqywGQ%7C%7C?hl=en", "View Link")</f>
        <v>View Link</v>
      </c>
      <c r="L46" s="3"/>
    </row>
    <row r="47" spans="1:12" ht="20" customHeight="1">
      <c r="A47" s="2"/>
      <c r="B47" s="2"/>
      <c r="C47" s="2"/>
      <c r="D47" s="2"/>
      <c r="E47" s="3"/>
      <c r="F47" s="4"/>
      <c r="G47" s="5" t="s">
        <v>166</v>
      </c>
      <c r="H47" s="4">
        <v>1</v>
      </c>
      <c r="I47" s="2" t="s">
        <v>167</v>
      </c>
      <c r="J47" s="4" t="s">
        <v>168</v>
      </c>
      <c r="K47" s="3" t="str">
        <f>HYPERLINK("https://www.google.com/maps/reviews/data=!4m8!14m7!1m6!2m5!1sChZDSUhNMG9nS0VJQ0FnSUNpbUl1dUJBEAE!2m1!1s0x0:0xbccc2ee3b9ce4cb9!3m1!1s2@1:CIHM0ogKEICAgICimIuuBA%7C%7C?hl=en", "View Link")</f>
        <v>View Link</v>
      </c>
      <c r="L47" s="3"/>
    </row>
    <row r="48" spans="1:12" ht="20" customHeight="1">
      <c r="A48" s="2"/>
      <c r="B48" s="2"/>
      <c r="C48" s="2"/>
      <c r="D48" s="2"/>
      <c r="E48" s="3"/>
      <c r="F48" s="4"/>
      <c r="G48" s="5" t="s">
        <v>169</v>
      </c>
      <c r="H48" s="4">
        <v>1</v>
      </c>
      <c r="I48" s="2" t="s">
        <v>170</v>
      </c>
      <c r="J48" s="4" t="s">
        <v>171</v>
      </c>
      <c r="K48" s="3" t="str">
        <f>HYPERLINK("https://www.google.com/maps/reviews/data=!4m8!14m7!1m6!2m5!1sChZDSUhNMG9nS0VJQ0FnSURCcGRLQmR3EAE!2m1!1s0x0:0xbccc2ee3b9ce4cb9!3m1!1s2@1:CIHM0ogKEICAgIDBpdKBdw%7C%7C?hl=en", "View Link")</f>
        <v>View Link</v>
      </c>
      <c r="L48" s="3"/>
    </row>
    <row r="49" spans="1:12" ht="20" customHeight="1">
      <c r="A49" s="2"/>
      <c r="B49" s="2"/>
      <c r="C49" s="2"/>
      <c r="D49" s="2"/>
      <c r="E49" s="3"/>
      <c r="F49" s="4"/>
      <c r="G49" s="5" t="s">
        <v>172</v>
      </c>
      <c r="H49" s="4">
        <v>1</v>
      </c>
      <c r="I49" s="2" t="s">
        <v>173</v>
      </c>
      <c r="J49" s="4" t="s">
        <v>174</v>
      </c>
      <c r="K49" s="3" t="str">
        <f>HYPERLINK("https://www.google.com/maps/reviews/data=!4m8!14m7!1m6!2m5!1sChdDSUhNMG9nS0VJQ0FnSURKcnJycl93RRAB!2m1!1s0x0:0xbccc2ee3b9ce4cb9!3m1!1s2@1:CIHM0ogKEICAgIDJrrrr_wE%7C%7C?hl=en", "View Link")</f>
        <v>View Link</v>
      </c>
      <c r="L49" s="3"/>
    </row>
    <row r="50" spans="1:12" ht="20" customHeight="1">
      <c r="A50" s="2"/>
      <c r="B50" s="2"/>
      <c r="C50" s="2"/>
      <c r="D50" s="2"/>
      <c r="E50" s="3"/>
      <c r="F50" s="4"/>
      <c r="G50" s="5" t="s">
        <v>175</v>
      </c>
      <c r="H50" s="4">
        <v>1</v>
      </c>
      <c r="I50" s="2" t="s">
        <v>176</v>
      </c>
      <c r="J50" s="4" t="s">
        <v>177</v>
      </c>
      <c r="K50" s="3" t="str">
        <f>HYPERLINK("https://www.google.com/maps/reviews/data=!4m8!14m7!1m6!2m5!1sChZDSUhNMG9nS0VJQ0FnSURtNWUtaVNREAE!2m1!1s0x0:0xbccc2ee3b9ce4cb9!3m1!1s2@1:CIHM0ogKEICAgIDm5e-iSQ%7C%7C?hl=en", "View Link")</f>
        <v>View Link</v>
      </c>
      <c r="L50" s="3"/>
    </row>
    <row r="51" spans="1:12" ht="20" customHeight="1">
      <c r="A51" s="2"/>
      <c r="B51" s="2"/>
      <c r="C51" s="2"/>
      <c r="D51" s="2"/>
      <c r="E51" s="3"/>
      <c r="F51" s="4"/>
      <c r="G51" s="5" t="s">
        <v>178</v>
      </c>
      <c r="H51" s="4">
        <v>1</v>
      </c>
      <c r="I51" s="2" t="s">
        <v>179</v>
      </c>
      <c r="J51" s="4" t="s">
        <v>180</v>
      </c>
      <c r="K51" s="3" t="str">
        <f>HYPERLINK("https://www.google.com/maps/reviews/data=!4m8!14m7!1m6!2m5!1sChdDSUhNMG9nS0VJQ0FnSURHd2R1VXFBRRAB!2m1!1s0x0:0xbccc2ee3b9ce4cb9!3m1!1s2@1:CIHM0ogKEICAgIDGwduUqAE%7C%7C?hl=en", "View Link")</f>
        <v>View Link</v>
      </c>
      <c r="L51" s="3"/>
    </row>
    <row r="52" spans="1:12" ht="20" customHeight="1">
      <c r="A52" s="2"/>
      <c r="B52" s="2"/>
      <c r="C52" s="2"/>
      <c r="D52" s="2"/>
      <c r="E52" s="3"/>
      <c r="F52" s="4"/>
      <c r="G52" s="5" t="s">
        <v>181</v>
      </c>
      <c r="H52" s="4">
        <v>1</v>
      </c>
      <c r="I52" s="2" t="s">
        <v>182</v>
      </c>
      <c r="J52" s="4" t="s">
        <v>183</v>
      </c>
      <c r="K52" s="3" t="str">
        <f>HYPERLINK("https://www.google.com/maps/reviews/data=!4m8!14m7!1m6!2m5!1sChZDSUhNMG9nS0VJQ0FnSUNtbWJDLUFnEAE!2m1!1s0x0:0xbccc2ee3b9ce4cb9!3m1!1s2@1:CIHM0ogKEICAgICmmbC-Ag%7C%7C?hl=en", "View Link")</f>
        <v>View Link</v>
      </c>
      <c r="L52" s="3"/>
    </row>
    <row r="53" spans="1:12" ht="20" customHeight="1">
      <c r="A53" s="2"/>
      <c r="B53" s="2"/>
      <c r="C53" s="2"/>
      <c r="D53" s="2"/>
      <c r="E53" s="3"/>
      <c r="F53" s="4"/>
      <c r="G53" s="5" t="s">
        <v>184</v>
      </c>
      <c r="H53" s="4">
        <v>1</v>
      </c>
      <c r="I53" s="2" t="s">
        <v>185</v>
      </c>
      <c r="J53" s="4" t="s">
        <v>186</v>
      </c>
      <c r="K53" s="3" t="str">
        <f>HYPERLINK("https://www.google.com/maps/reviews/data=!4m8!14m7!1m6!2m5!1sChZDSUhNMG9nS0VJQ0FnSUNia3MzTU5BEAE!2m1!1s0x0:0xbccc2ee3b9ce4cb9!3m1!1s2@1:CIHM0ogKEICAgICbks3MNA%7C%7C?hl=en", "View Link")</f>
        <v>View Link</v>
      </c>
      <c r="L53" s="3"/>
    </row>
    <row r="54" spans="1:12" ht="20" customHeight="1">
      <c r="A54" s="2" t="s">
        <v>187</v>
      </c>
      <c r="B54" s="2" t="s">
        <v>188</v>
      </c>
      <c r="C54" s="2" t="s">
        <v>189</v>
      </c>
      <c r="D54" s="2" t="s">
        <v>89</v>
      </c>
      <c r="E54" s="3">
        <f>HYPERLINK("http://www.institutdermatologicgirona.com/", "Visit Website")</f>
        <v>0</v>
      </c>
      <c r="F54" s="4">
        <v>3.5</v>
      </c>
      <c r="G54" s="5" t="s">
        <v>190</v>
      </c>
      <c r="H54" s="4">
        <v>1</v>
      </c>
      <c r="I54" s="2" t="s">
        <v>191</v>
      </c>
      <c r="J54" s="4" t="s">
        <v>192</v>
      </c>
      <c r="K54" s="3" t="str">
        <f>HYPERLINK("https://www.google.com/maps/reviews/data=!4m8!14m7!1m6!2m5!1sCi9DQUlRQUNvZENodHljRjlvT25CZmFIQnJOM1ZRUjJFNE9VazJiVTg1VHpjNFQyYxAB!2m1!1s0x0:0x95399a9172349220!3m1!1s2@1:CAIQACodChtycF9oOnBfaHBrN3VQR2E4OUk2bU85Tzc4T2c%7C%7C?hl=en", "View Link")</f>
        <v>View Link</v>
      </c>
      <c r="L54" s="3">
        <f>HYPERLINK("https://www.google.com/maps/search/?api=1&amp;query=Institut%20Dermatol%C3%B2gic%20Girona&amp;query_place_id=ChIJK3NuhyfnuhIRIJI0cpGaOZU", "Open Map")</f>
        <v>0</v>
      </c>
    </row>
    <row r="55" spans="1:12" ht="20" customHeight="1">
      <c r="A55" s="2"/>
      <c r="B55" s="2"/>
      <c r="C55" s="2"/>
      <c r="D55" s="2"/>
      <c r="E55" s="3"/>
      <c r="F55" s="4"/>
      <c r="G55" s="5" t="s">
        <v>193</v>
      </c>
      <c r="H55" s="4">
        <v>1</v>
      </c>
      <c r="I55" s="2" t="s">
        <v>194</v>
      </c>
      <c r="J55" s="4" t="s">
        <v>195</v>
      </c>
      <c r="K55" s="3" t="str">
        <f>HYPERLINK("https://www.google.com/maps/reviews/data=!4m8!14m7!1m6!2m5!1sCi9DQUlRQUNvZENodHljRjlvT21oMVYxbE1RbUpZWlVGeVFWOUdRazVhYVVwa09XYxAB!2m1!1s0x0:0x95399a9172349220!3m1!1s2@1:CAIQACodChtycF9oOmh1V1lMQmJYZUFyQV9GQk5aaUpkOWc%7C%7C?hl=en", "View Link")</f>
        <v>View Link</v>
      </c>
      <c r="L55" s="3"/>
    </row>
    <row r="56" spans="1:12" ht="20" customHeight="1">
      <c r="A56" s="2"/>
      <c r="B56" s="2"/>
      <c r="C56" s="2"/>
      <c r="D56" s="2"/>
      <c r="E56" s="3"/>
      <c r="F56" s="4"/>
      <c r="G56" s="5" t="s">
        <v>196</v>
      </c>
      <c r="H56" s="4">
        <v>1</v>
      </c>
      <c r="I56" s="2" t="s">
        <v>197</v>
      </c>
      <c r="J56" s="4" t="s">
        <v>198</v>
      </c>
      <c r="K56" s="3" t="str">
        <f>HYPERLINK("https://www.google.com/maps/reviews/data=!4m8!14m7!1m6!2m5!1sCi9DQUlRQUNvZENodHljRjlvT2pOYWNuUnFkVWRwVEdSU00xSXRYMFpaZEhOTFEwRRAB!2m1!1s0x0:0x95399a9172349220!3m1!1s2@1:CAIQACodChtycF9oOjNacnRqdUdpTGRSM1ItX0ZZdHNLQ0E%7C%7C?hl=en", "View Link")</f>
        <v>View Link</v>
      </c>
      <c r="L56" s="3"/>
    </row>
    <row r="57" spans="1:12" ht="20" customHeight="1">
      <c r="A57" s="2"/>
      <c r="B57" s="2"/>
      <c r="C57" s="2"/>
      <c r="D57" s="2"/>
      <c r="E57" s="3"/>
      <c r="F57" s="4"/>
      <c r="G57" s="5" t="s">
        <v>199</v>
      </c>
      <c r="H57" s="4">
        <v>1</v>
      </c>
      <c r="I57" s="2" t="s">
        <v>200</v>
      </c>
      <c r="J57" s="4" t="s">
        <v>201</v>
      </c>
      <c r="K57" s="3" t="str">
        <f>HYPERLINK("https://www.google.com/maps/reviews/data=!4m8!14m7!1m6!2m5!1sCi9DQUlRQUNvZENodHljRjlvT2xoT1lXSnljRzVwUzJnMlVWSnRWek5JVDA4MmRGRRAB!2m1!1s0x0:0x95399a9172349220!3m1!1s2@1:CAIQACodChtycF9oOlhOYWJycG5pS2g2UVJtVzNIT082dFE%7C%7C?hl=en", "View Link")</f>
        <v>View Link</v>
      </c>
      <c r="L57" s="3"/>
    </row>
    <row r="58" spans="1:12" ht="20" customHeight="1">
      <c r="A58" s="2"/>
      <c r="B58" s="2"/>
      <c r="C58" s="2"/>
      <c r="D58" s="2"/>
      <c r="E58" s="3"/>
      <c r="F58" s="4"/>
      <c r="G58" s="5" t="s">
        <v>202</v>
      </c>
      <c r="H58" s="4">
        <v>1</v>
      </c>
      <c r="I58" s="2" t="s">
        <v>203</v>
      </c>
      <c r="J58" s="4" t="s">
        <v>204</v>
      </c>
      <c r="K58" s="3" t="str">
        <f>HYPERLINK("https://www.google.com/maps/reviews/data=!4m8!14m7!1m6!2m5!1sChZDSUhNMG9nS0VJQ0FnTURvcmFtV1h3EAE!2m1!1s0x0:0x95399a9172349220!3m1!1s2@1:CIHM0ogKEICAgMDoramWXw%7C%7C?hl=en", "View Link")</f>
        <v>View Link</v>
      </c>
      <c r="L58" s="3"/>
    </row>
    <row r="59" spans="1:12" ht="20" customHeight="1">
      <c r="A59" s="2"/>
      <c r="B59" s="2"/>
      <c r="C59" s="2"/>
      <c r="D59" s="2"/>
      <c r="E59" s="3"/>
      <c r="F59" s="4"/>
      <c r="G59" s="5" t="s">
        <v>205</v>
      </c>
      <c r="H59" s="4">
        <v>1</v>
      </c>
      <c r="I59" s="2" t="s">
        <v>206</v>
      </c>
      <c r="J59" s="4" t="s">
        <v>207</v>
      </c>
      <c r="K59" s="3" t="str">
        <f>HYPERLINK("https://www.google.com/maps/reviews/data=!4m8!14m7!1m6!2m5!1sChdDSUhNMG9nS0VMWFFqdHVxcTRfZnJBRRAB!2m1!1s0x0:0x95399a9172349220!3m1!1s2@1:CIHM0ogKELXQjtuqq4_frAE%7C%7C?hl=en", "View Link")</f>
        <v>View Link</v>
      </c>
      <c r="L59" s="3"/>
    </row>
    <row r="60" spans="1:12" ht="20" customHeight="1">
      <c r="A60" s="2"/>
      <c r="B60" s="2"/>
      <c r="C60" s="2"/>
      <c r="D60" s="2"/>
      <c r="E60" s="3"/>
      <c r="F60" s="4"/>
      <c r="G60" s="5" t="s">
        <v>208</v>
      </c>
      <c r="H60" s="4">
        <v>1</v>
      </c>
      <c r="I60" s="2" t="s">
        <v>209</v>
      </c>
      <c r="J60" s="4" t="s">
        <v>210</v>
      </c>
      <c r="K60" s="3" t="str">
        <f>HYPERLINK("https://www.google.com/maps/reviews/data=!4m8!14m7!1m6!2m5!1sChdDSUhNMG9nS0VOQ3ctZGppMEtmdzVRRRAB!2m1!1s0x0:0x95399a9172349220!3m1!1s2@1:CIHM0ogKENCw-dji0Kfw5QE%7C%7C?hl=en", "View Link")</f>
        <v>View Link</v>
      </c>
      <c r="L60" s="3"/>
    </row>
    <row r="61" spans="1:12" ht="20" customHeight="1">
      <c r="A61" s="2"/>
      <c r="B61" s="2"/>
      <c r="C61" s="2"/>
      <c r="D61" s="2"/>
      <c r="E61" s="3"/>
      <c r="F61" s="4"/>
      <c r="G61" s="5" t="s">
        <v>211</v>
      </c>
      <c r="H61" s="4">
        <v>1</v>
      </c>
      <c r="I61" s="2" t="s">
        <v>212</v>
      </c>
      <c r="J61" s="4" t="s">
        <v>213</v>
      </c>
      <c r="K61" s="3" t="str">
        <f>HYPERLINK("https://www.google.com/maps/reviews/data=!4m8!14m7!1m6!2m5!1sChdDSUhNMG9nS0VJQ0FnSUN0cjZXMmtRRRAB!2m1!1s0x0:0x95399a9172349220!3m1!1s2@1:CIHM0ogKEICAgICtr6W2kQE%7C%7C?hl=en", "View Link")</f>
        <v>View Link</v>
      </c>
      <c r="L61" s="3"/>
    </row>
    <row r="62" spans="1:12" ht="20" customHeight="1">
      <c r="A62" s="2"/>
      <c r="B62" s="2"/>
      <c r="C62" s="2"/>
      <c r="D62" s="2"/>
      <c r="E62" s="3"/>
      <c r="F62" s="4"/>
      <c r="G62" s="5" t="s">
        <v>214</v>
      </c>
      <c r="H62" s="4">
        <v>1</v>
      </c>
      <c r="I62" s="2" t="s">
        <v>215</v>
      </c>
      <c r="J62" s="4" t="s">
        <v>216</v>
      </c>
      <c r="K62" s="3" t="str">
        <f>HYPERLINK("https://www.google.com/maps/reviews/data=!4m8!14m7!1m6!2m5!1sCi9DQUlRQUNvZENodHljRjlvT2xkVVIzSlphRGgxVkhVNFdYWlFlbG8zZVhKblZGRRAB!2m1!1s0x0:0x95399a9172349220!3m1!1s2@1:CAIQACodChtycF9oOldUR3JZaDh1VHU4WXZQelo3eXJnVFE%7C%7C?hl=en", "View Link")</f>
        <v>View Link</v>
      </c>
      <c r="L62" s="3"/>
    </row>
    <row r="63" spans="1:12" ht="20" customHeight="1">
      <c r="A63" s="2"/>
      <c r="B63" s="2"/>
      <c r="C63" s="2"/>
      <c r="D63" s="2"/>
      <c r="E63" s="3"/>
      <c r="F63" s="4"/>
      <c r="G63" s="5" t="s">
        <v>217</v>
      </c>
      <c r="H63" s="4">
        <v>1</v>
      </c>
      <c r="I63" s="2" t="s">
        <v>218</v>
      </c>
      <c r="J63" s="4" t="s">
        <v>219</v>
      </c>
      <c r="K63" s="3" t="str">
        <f>HYPERLINK("https://www.google.com/maps/reviews/data=!4m8!14m7!1m6!2m5!1sChZDSUhNMG9nS0VJQ0FnSUNyLThINUlnEAE!2m1!1s0x0:0x95399a9172349220!3m1!1s2@1:CIHM0ogKEICAgICr-8H5Ig%7C%7C?hl=en", "View Link")</f>
        <v>View Link</v>
      </c>
      <c r="L63" s="3"/>
    </row>
    <row r="64" spans="1:12" ht="20" customHeight="1">
      <c r="A64" s="2"/>
      <c r="B64" s="2"/>
      <c r="C64" s="2"/>
      <c r="D64" s="2"/>
      <c r="E64" s="3"/>
      <c r="F64" s="4"/>
      <c r="G64" s="5" t="s">
        <v>220</v>
      </c>
      <c r="H64" s="4">
        <v>1</v>
      </c>
      <c r="I64" s="2" t="s">
        <v>221</v>
      </c>
      <c r="J64" s="4" t="s">
        <v>222</v>
      </c>
      <c r="K64" s="3" t="str">
        <f>HYPERLINK("https://www.google.com/maps/reviews/data=!4m8!14m7!1m6!2m5!1sCi9DQUlRQUNvZENodHljRjlvT25wcVZGbHhTalpTVm5rMmFsOUlMVWRMUms1TWIwRRAB!2m1!1s0x0:0x95399a9172349220!3m1!1s2@1:CAIQACodChtycF9oOnpqVFlxSjZSVnk2al9ILUdLRk5Mb0E%7C%7C?hl=en", "View Link")</f>
        <v>View Link</v>
      </c>
      <c r="L64" s="3"/>
    </row>
    <row r="65" spans="1:12" ht="20" customHeight="1">
      <c r="A65" s="2"/>
      <c r="B65" s="2"/>
      <c r="C65" s="2"/>
      <c r="D65" s="2"/>
      <c r="E65" s="3"/>
      <c r="F65" s="4"/>
      <c r="G65" s="5" t="s">
        <v>223</v>
      </c>
      <c r="H65" s="4">
        <v>1</v>
      </c>
      <c r="I65" s="2" t="s">
        <v>224</v>
      </c>
      <c r="J65" s="4" t="s">
        <v>225</v>
      </c>
      <c r="K65" s="3" t="str">
        <f>HYPERLINK("https://www.google.com/maps/reviews/data=!4m8!14m7!1m6!2m5!1sChdDSUhNMG9nS0VJQ0FnSURqMnRHSjN3RRAB!2m1!1s0x0:0x95399a9172349220!3m1!1s2@1:CIHM0ogKEICAgIDj2tGJ3wE%7C%7C?hl=en", "View Link")</f>
        <v>View Link</v>
      </c>
      <c r="L65" s="3"/>
    </row>
    <row r="66" spans="1:12" ht="20" customHeight="1">
      <c r="A66" s="2"/>
      <c r="B66" s="2"/>
      <c r="C66" s="2"/>
      <c r="D66" s="2"/>
      <c r="E66" s="3"/>
      <c r="F66" s="4"/>
      <c r="G66" s="5" t="s">
        <v>226</v>
      </c>
      <c r="H66" s="4">
        <v>1</v>
      </c>
      <c r="I66" s="2" t="s">
        <v>227</v>
      </c>
      <c r="J66" s="4" t="s">
        <v>228</v>
      </c>
      <c r="K66" s="3" t="str">
        <f>HYPERLINK("https://www.google.com/maps/reviews/data=!4m8!14m7!1m6!2m5!1sChZDSUhNMG9nS0VJQ0FnSUNIaXFQaGVREAE!2m1!1s0x0:0x95399a9172349220!3m1!1s2@1:CIHM0ogKEICAgICHiqPheQ%7C%7C?hl=en", "View Link")</f>
        <v>View Link</v>
      </c>
      <c r="L66" s="3"/>
    </row>
    <row r="67" spans="1:12" ht="20" customHeight="1">
      <c r="A67" s="2"/>
      <c r="B67" s="2"/>
      <c r="C67" s="2"/>
      <c r="D67" s="2"/>
      <c r="E67" s="3"/>
      <c r="F67" s="4"/>
      <c r="G67" s="5" t="s">
        <v>229</v>
      </c>
      <c r="H67" s="4">
        <v>1</v>
      </c>
      <c r="I67" s="2" t="s">
        <v>230</v>
      </c>
      <c r="J67" s="4" t="s">
        <v>231</v>
      </c>
      <c r="K67" s="3" t="str">
        <f>HYPERLINK("https://www.google.com/maps/reviews/data=!4m8!14m7!1m6!2m5!1sChZDSUhNMG9nS0VJQ0FnSURqczVha0l3EAE!2m1!1s0x0:0x95399a9172349220!3m1!1s2@1:CIHM0ogKEICAgIDjs5akIw%7C%7C?hl=en", "View Link")</f>
        <v>View Link</v>
      </c>
      <c r="L67" s="3"/>
    </row>
    <row r="68" spans="1:12" ht="20" customHeight="1">
      <c r="A68" s="2"/>
      <c r="B68" s="2"/>
      <c r="C68" s="2"/>
      <c r="D68" s="2"/>
      <c r="E68" s="3"/>
      <c r="F68" s="4"/>
      <c r="G68" s="5" t="s">
        <v>232</v>
      </c>
      <c r="H68" s="4">
        <v>1</v>
      </c>
      <c r="I68" s="2" t="s">
        <v>233</v>
      </c>
      <c r="J68" s="4" t="s">
        <v>234</v>
      </c>
      <c r="K68" s="3" t="str">
        <f>HYPERLINK("https://www.google.com/maps/reviews/data=!4m8!14m7!1m6!2m5!1sChdDSUhNMG9nS0VJQ0FnSUNyM01HdzlBRRAB!2m1!1s0x0:0x95399a9172349220!3m1!1s2@1:CIHM0ogKEICAgICr3MGw9AE%7C%7C?hl=en", "View Link")</f>
        <v>View Link</v>
      </c>
      <c r="L68" s="3"/>
    </row>
    <row r="69" spans="1:12" ht="20" customHeight="1">
      <c r="A69" s="2"/>
      <c r="B69" s="2"/>
      <c r="C69" s="2"/>
      <c r="D69" s="2"/>
      <c r="E69" s="3"/>
      <c r="F69" s="4"/>
      <c r="G69" s="5" t="s">
        <v>235</v>
      </c>
      <c r="H69" s="4">
        <v>1</v>
      </c>
      <c r="I69" s="2" t="s">
        <v>236</v>
      </c>
      <c r="J69" s="4" t="s">
        <v>237</v>
      </c>
      <c r="K69" s="3" t="str">
        <f>HYPERLINK("https://www.google.com/maps/reviews/data=!4m8!14m7!1m6!2m5!1sChdDSUhNMG9nS0VJQ0FnSUNkMmJhaWpBRRAB!2m1!1s0x0:0x95399a9172349220!3m1!1s2@1:CIHM0ogKEICAgICd2baijAE%7C%7C?hl=en", "View Link")</f>
        <v>View Link</v>
      </c>
      <c r="L69" s="3"/>
    </row>
    <row r="70" spans="1:12" ht="20" customHeight="1">
      <c r="A70" s="2"/>
      <c r="B70" s="2"/>
      <c r="C70" s="2"/>
      <c r="D70" s="2"/>
      <c r="E70" s="3"/>
      <c r="F70" s="4"/>
      <c r="G70" s="5" t="s">
        <v>238</v>
      </c>
      <c r="H70" s="4">
        <v>1</v>
      </c>
      <c r="I70" s="2" t="s">
        <v>239</v>
      </c>
      <c r="J70" s="4" t="s">
        <v>240</v>
      </c>
      <c r="K70" s="3" t="str">
        <f>HYPERLINK("https://www.google.com/maps/reviews/data=!4m8!14m7!1m6!2m5!1sChZDSUhNMG9nS0VJQ0FnSUNsNm8tU1VBEAE!2m1!1s0x0:0x95399a9172349220!3m1!1s2@1:CIHM0ogKEICAgICl6o-SUA%7C%7C?hl=en", "View Link")</f>
        <v>View Link</v>
      </c>
      <c r="L70" s="3"/>
    </row>
    <row r="71" spans="1:12" ht="20" customHeight="1">
      <c r="A71" s="2"/>
      <c r="B71" s="2"/>
      <c r="C71" s="2"/>
      <c r="D71" s="2"/>
      <c r="E71" s="3"/>
      <c r="F71" s="4"/>
      <c r="G71" s="5" t="s">
        <v>241</v>
      </c>
      <c r="H71" s="4">
        <v>1</v>
      </c>
      <c r="I71" s="2" t="s">
        <v>242</v>
      </c>
      <c r="J71" s="4" t="s">
        <v>243</v>
      </c>
      <c r="K71" s="3" t="str">
        <f>HYPERLINK("https://www.google.com/maps/reviews/data=!4m8!14m7!1m6!2m5!1sChZDSUhNMG9nS0VJQ0FnSUNMck5XbFV3EAE!2m1!1s0x0:0x95399a9172349220!3m1!1s2@1:CIHM0ogKEICAgICLrNWlUw%7C%7C?hl=en", "View Link")</f>
        <v>View Link</v>
      </c>
      <c r="L71" s="3"/>
    </row>
    <row r="72" spans="1:12" ht="20" customHeight="1">
      <c r="A72" s="2"/>
      <c r="B72" s="2"/>
      <c r="C72" s="2"/>
      <c r="D72" s="2"/>
      <c r="E72" s="3"/>
      <c r="F72" s="4"/>
      <c r="G72" s="5" t="s">
        <v>244</v>
      </c>
      <c r="H72" s="4">
        <v>1</v>
      </c>
      <c r="I72" s="2" t="s">
        <v>245</v>
      </c>
      <c r="J72" s="4" t="s">
        <v>246</v>
      </c>
      <c r="K72" s="3" t="str">
        <f>HYPERLINK("https://www.google.com/maps/reviews/data=!4m8!14m7!1m6!2m5!1sChdDSUhNMG9nS0VJQ0FnSUM2OV9HRjh3RRAB!2m1!1s0x0:0x95399a9172349220!3m1!1s2@1:CIHM0ogKEICAgIC69_GF8wE%7C%7C?hl=en", "View Link")</f>
        <v>View Link</v>
      </c>
      <c r="L72" s="3"/>
    </row>
    <row r="73" spans="1:12" ht="20" customHeight="1">
      <c r="A73" s="2"/>
      <c r="B73" s="2"/>
      <c r="C73" s="2"/>
      <c r="D73" s="2"/>
      <c r="E73" s="3"/>
      <c r="F73" s="4"/>
      <c r="G73" s="5" t="s">
        <v>247</v>
      </c>
      <c r="H73" s="4">
        <v>1</v>
      </c>
      <c r="I73" s="2" t="s">
        <v>248</v>
      </c>
      <c r="J73" s="4" t="s">
        <v>249</v>
      </c>
      <c r="K73" s="3" t="str">
        <f>HYPERLINK("https://www.google.com/maps/reviews/data=!4m8!14m7!1m6!2m5!1sChdDSUhNMG9nS0VJQ0FnSURUcElqYXV3RRAB!2m1!1s0x0:0x95399a9172349220!3m1!1s2@1:CIHM0ogKEICAgIDTpIjauwE%7C%7C?hl=en", "View Link")</f>
        <v>View Link</v>
      </c>
      <c r="L73" s="3"/>
    </row>
    <row r="74" spans="1:12" ht="20" customHeight="1">
      <c r="A74" s="2" t="s">
        <v>250</v>
      </c>
      <c r="B74" s="2" t="s">
        <v>251</v>
      </c>
      <c r="C74" s="2" t="s">
        <v>252</v>
      </c>
      <c r="D74" s="2" t="s">
        <v>253</v>
      </c>
      <c r="E74" s="3">
        <f>HYPERLINK("https://dermatologiaintegralgirona.com/ca", "Visit Website")</f>
        <v>0</v>
      </c>
      <c r="F74" s="4">
        <v>3.8</v>
      </c>
      <c r="G74" s="5" t="s">
        <v>254</v>
      </c>
      <c r="H74" s="4">
        <v>1</v>
      </c>
      <c r="I74" s="2" t="s">
        <v>255</v>
      </c>
      <c r="J74" s="4" t="s">
        <v>256</v>
      </c>
      <c r="K74" s="3" t="str">
        <f>HYPERLINK("https://www.google.com/maps/reviews/data=!4m8!14m7!1m6!2m5!1sChdDSUhNMG9nS0VJQ0FnSURmZzdEWDVBRRAB!2m1!1s0x0:0xe9e3f8d279e646f4!3m1!1s2@1:CIHM0ogKEICAgIDfg7DX5AE%7C%7C?hl=en", "View Link")</f>
        <v>View Link</v>
      </c>
      <c r="L74" s="3">
        <f>HYPERLINK("https://www.google.com/maps/search/?api=1&amp;query=Dermatologia%20Integral%20Girona&amp;query_place_id=ChIJfSwbCYrnuhIR9EbmedL44-k", "Open Map")</f>
        <v>0</v>
      </c>
    </row>
    <row r="75" spans="1:12" ht="20" customHeight="1">
      <c r="A75" s="2"/>
      <c r="B75" s="2"/>
      <c r="C75" s="2"/>
      <c r="D75" s="2"/>
      <c r="E75" s="3"/>
      <c r="F75" s="4"/>
      <c r="G75" s="5" t="s">
        <v>257</v>
      </c>
      <c r="H75" s="4">
        <v>1</v>
      </c>
      <c r="I75" s="2" t="s">
        <v>258</v>
      </c>
      <c r="J75" s="4" t="s">
        <v>259</v>
      </c>
      <c r="K75" s="3" t="str">
        <f>HYPERLINK("https://www.google.com/maps/reviews/data=!4m8!14m7!1m6!2m5!1sChdDSUhNMG9nS0VJQ0FnSUQyejRfRjB3RRAB!2m1!1s0x0:0xe9e3f8d279e646f4!3m1!1s2@1:CIHM0ogKEICAgID2z4_F0wE%7C%7C?hl=en", "View Link")</f>
        <v>View Link</v>
      </c>
      <c r="L75" s="3"/>
    </row>
    <row r="76" spans="1:12" ht="20" customHeight="1">
      <c r="A76" s="2"/>
      <c r="B76" s="2"/>
      <c r="C76" s="2"/>
      <c r="D76" s="2"/>
      <c r="E76" s="3"/>
      <c r="F76" s="4"/>
      <c r="G76" s="5" t="s">
        <v>260</v>
      </c>
      <c r="H76" s="4">
        <v>1</v>
      </c>
      <c r="I76" s="2" t="s">
        <v>261</v>
      </c>
      <c r="J76" s="4" t="s">
        <v>262</v>
      </c>
      <c r="K76" s="3" t="str">
        <f>HYPERLINK("https://www.google.com/maps/reviews/data=!4m8!14m7!1m6!2m5!1sChZDSUhNMG9nS0VJQ0FnSURPMHJpNmVREAE!2m1!1s0x0:0xe9e3f8d279e646f4!3m1!1s2@1:CIHM0ogKEICAgIDO0ri6eQ%7C%7C?hl=en", "View Link")</f>
        <v>View Link</v>
      </c>
      <c r="L76" s="3"/>
    </row>
    <row r="77" spans="1:12" ht="20" customHeight="1">
      <c r="A77" s="2"/>
      <c r="B77" s="2"/>
      <c r="C77" s="2"/>
      <c r="D77" s="2"/>
      <c r="E77" s="3"/>
      <c r="F77" s="4"/>
      <c r="G77" s="5" t="s">
        <v>263</v>
      </c>
      <c r="H77" s="4">
        <v>1</v>
      </c>
      <c r="I77" s="2" t="s">
        <v>264</v>
      </c>
      <c r="J77" s="4" t="s">
        <v>265</v>
      </c>
      <c r="K77" s="3" t="str">
        <f>HYPERLINK("https://www.google.com/maps/reviews/data=!4m8!14m7!1m6!2m5!1sChZDSUhNMG9nS0VJQ0FnSURHMzc3NlRREAE!2m1!1s0x0:0xe9e3f8d279e646f4!3m1!1s2@1:CIHM0ogKEICAgIDG3776TQ%7C%7C?hl=en", "View Link")</f>
        <v>View Link</v>
      </c>
      <c r="L77" s="3"/>
    </row>
    <row r="78" spans="1:12" ht="20" customHeight="1">
      <c r="A78" s="2"/>
      <c r="B78" s="2"/>
      <c r="C78" s="2"/>
      <c r="D78" s="2"/>
      <c r="E78" s="3"/>
      <c r="F78" s="4"/>
      <c r="G78" s="5" t="s">
        <v>266</v>
      </c>
      <c r="H78" s="4">
        <v>1</v>
      </c>
      <c r="I78" s="2" t="s">
        <v>267</v>
      </c>
      <c r="J78" s="4" t="s">
        <v>268</v>
      </c>
      <c r="K78" s="3" t="str">
        <f>HYPERLINK("https://www.google.com/maps/reviews/data=!4m8!14m7!1m6!2m5!1sChdDSUhNMG9nS0VJQ0FnSURSZ3U2ZXhRRRAB!2m1!1s0x0:0xe9e3f8d279e646f4!3m1!1s2@1:CIHM0ogKEICAgIDRgu6exQE%7C%7C?hl=en", "View Link")</f>
        <v>View Link</v>
      </c>
      <c r="L78" s="3"/>
    </row>
    <row r="79" spans="1:12" ht="20" customHeight="1">
      <c r="A79" s="2"/>
      <c r="B79" s="2"/>
      <c r="C79" s="2"/>
      <c r="D79" s="2"/>
      <c r="E79" s="3"/>
      <c r="F79" s="4"/>
      <c r="G79" s="5" t="s">
        <v>269</v>
      </c>
      <c r="H79" s="4">
        <v>1</v>
      </c>
      <c r="I79" s="2" t="s">
        <v>270</v>
      </c>
      <c r="J79" s="4" t="s">
        <v>271</v>
      </c>
      <c r="K79" s="3" t="str">
        <f>HYPERLINK("https://www.google.com/maps/reviews/data=!4m8!14m7!1m6!2m5!1sChdDSUhNMG9nS0VJQ0FnSURobVBUQXNBRRAB!2m1!1s0x0:0xe9e3f8d279e646f4!3m1!1s2@1:CIHM0ogKEICAgIDhmPTAsAE%7C%7C?hl=en", "View Link")</f>
        <v>View Link</v>
      </c>
      <c r="L79" s="3"/>
    </row>
    <row r="80" spans="1:12" ht="20" customHeight="1">
      <c r="A80" s="2"/>
      <c r="B80" s="2"/>
      <c r="C80" s="2"/>
      <c r="D80" s="2"/>
      <c r="E80" s="3"/>
      <c r="F80" s="4"/>
      <c r="G80" s="5" t="s">
        <v>272</v>
      </c>
      <c r="H80" s="4">
        <v>1</v>
      </c>
      <c r="I80" s="2" t="s">
        <v>273</v>
      </c>
      <c r="J80" s="4" t="s">
        <v>274</v>
      </c>
      <c r="K80" s="3" t="str">
        <f>HYPERLINK("https://www.google.com/maps/reviews/data=!4m8!14m7!1m6!2m5!1sCi9DQUlRQUNvZENodHljRjlvT2xjelMxZDJUVUp1UmpjdGEydDZkMU5xU1RkM05HYxAB!2m1!1s0x0:0xe9e3f8d279e646f4!3m1!1s2@1:CAIQACodChtycF9oOlczS1d2TUJuRjcta2t6d1NqSTd3NGc%7C%7C?hl=en", "View Link")</f>
        <v>View Link</v>
      </c>
      <c r="L80" s="3"/>
    </row>
    <row r="81" spans="1:12" ht="20" customHeight="1">
      <c r="A81" s="2"/>
      <c r="B81" s="2"/>
      <c r="C81" s="2"/>
      <c r="D81" s="2"/>
      <c r="E81" s="3"/>
      <c r="F81" s="4"/>
      <c r="G81" s="5" t="s">
        <v>275</v>
      </c>
      <c r="H81" s="4">
        <v>2</v>
      </c>
      <c r="I81" s="2" t="s">
        <v>276</v>
      </c>
      <c r="J81" s="4" t="s">
        <v>277</v>
      </c>
      <c r="K81" s="3" t="str">
        <f>HYPERLINK("https://www.google.com/maps/reviews/data=!4m8!14m7!1m6!2m5!1sChdDSUhNMG9nS0VJQ0FnSUNyME0yOXVnRRAB!2m1!1s0x0:0xe9e3f8d279e646f4!3m1!1s2@1:CIHM0ogKEICAgICr0M29ugE%7C%7C?hl=en", "View Link")</f>
        <v>View Link</v>
      </c>
      <c r="L81" s="3"/>
    </row>
    <row r="82" spans="1:12" ht="20" customHeight="1">
      <c r="A82" s="2"/>
      <c r="B82" s="2"/>
      <c r="C82" s="2"/>
      <c r="D82" s="2"/>
      <c r="E82" s="3"/>
      <c r="F82" s="4"/>
      <c r="G82" s="5" t="s">
        <v>278</v>
      </c>
      <c r="H82" s="4">
        <v>2</v>
      </c>
      <c r="I82" s="2" t="s">
        <v>279</v>
      </c>
      <c r="J82" s="4" t="s">
        <v>280</v>
      </c>
      <c r="K82" s="3" t="str">
        <f>HYPERLINK("https://www.google.com/maps/reviews/data=!4m8!14m7!1m6!2m5!1sChZDSUhNMG9nS0VJQ0FnSUNPMVAzVmJnEAE!2m1!1s0x0:0xe9e3f8d279e646f4!3m1!1s2@1:CIHM0ogKEICAgICO1P3Vbg%7C%7C?hl=en", "View Link")</f>
        <v>View Link</v>
      </c>
      <c r="L82" s="3"/>
    </row>
    <row r="83" spans="1:12" ht="20" customHeight="1">
      <c r="A83" s="2" t="s">
        <v>281</v>
      </c>
      <c r="B83" s="2" t="s">
        <v>282</v>
      </c>
      <c r="C83" s="2" t="s">
        <v>283</v>
      </c>
      <c r="D83" s="2" t="s">
        <v>89</v>
      </c>
      <c r="E83" s="3">
        <f>HYPERLINK("http://www.quintanadoctors.com/", "Visit Website")</f>
        <v>0</v>
      </c>
      <c r="F83" s="4">
        <v>3.7</v>
      </c>
      <c r="G83" s="5" t="s">
        <v>284</v>
      </c>
      <c r="H83" s="4">
        <v>1</v>
      </c>
      <c r="I83" s="2" t="s">
        <v>285</v>
      </c>
      <c r="J83" s="4" t="s">
        <v>286</v>
      </c>
      <c r="K83" s="3" t="str">
        <f>HYPERLINK("https://www.google.com/maps/reviews/data=!4m8!14m7!1m6!2m5!1sCi9DQUlRQUNvZENodHljRjlvT21GMlJERlpTMWRXY0doeldEZExPR2RzVnpKYU5rRRAB!2m1!1s0x0:0x156a8f70a0e31903!3m1!1s2@1:CAIQACodChtycF9oOmF2RDFZS1dWcGhzWDdLOGdsVzJaNkE%7C%7C?hl=en", "View Link")</f>
        <v>View Link</v>
      </c>
      <c r="L83" s="3">
        <f>HYPERLINK("https://www.google.com/maps/search/?api=1&amp;query=QUINTANA%20DOCTORS&amp;query_place_id=ChIJHyGXzSbnuhIRAxnjoHCPahU", "Open Map")</f>
        <v>0</v>
      </c>
    </row>
    <row r="84" spans="1:12" ht="20" customHeight="1">
      <c r="A84" s="2"/>
      <c r="B84" s="2"/>
      <c r="C84" s="2"/>
      <c r="D84" s="2"/>
      <c r="E84" s="3"/>
      <c r="F84" s="4"/>
      <c r="G84" s="5" t="s">
        <v>287</v>
      </c>
      <c r="H84" s="4">
        <v>1</v>
      </c>
      <c r="I84" s="2" t="s">
        <v>288</v>
      </c>
      <c r="J84" s="4" t="s">
        <v>289</v>
      </c>
      <c r="K84" s="3" t="str">
        <f>HYPERLINK("https://www.google.com/maps/reviews/data=!4m8!14m7!1m6!2m5!1sCi9DQUlRQUNvZENodHljRjlvT2w5VFpFcExVVXQyVWpGSVlVVkJRbmRYY1hnMGVVRRAB!2m1!1s0x0:0x156a8f70a0e31903!3m1!1s2@1:CAIQACodChtycF9oOl9TZEpLUUt2UjFIYUVBQndXcXg0eUE%7C%7C?hl=en", "View Link")</f>
        <v>View Link</v>
      </c>
      <c r="L84" s="3"/>
    </row>
    <row r="85" spans="1:12" ht="20" customHeight="1">
      <c r="A85" s="2"/>
      <c r="B85" s="2"/>
      <c r="C85" s="2"/>
      <c r="D85" s="2"/>
      <c r="E85" s="3"/>
      <c r="F85" s="4"/>
      <c r="G85" s="5" t="s">
        <v>290</v>
      </c>
      <c r="H85" s="4">
        <v>1</v>
      </c>
      <c r="I85" s="2" t="s">
        <v>291</v>
      </c>
      <c r="J85" s="4" t="s">
        <v>292</v>
      </c>
      <c r="K85" s="3" t="str">
        <f>HYPERLINK("https://www.google.com/maps/reviews/data=!4m8!14m7!1m6!2m5!1sCi9DQUlRQUNvZENodHljRjlvT20wNVkxSkRhakZFWkRsWVowYzRUM0JKWkhKaVVVRRAB!2m1!1s0x0:0x156a8f70a0e31903!3m1!1s2@1:CAIQACodChtycF9oOm05Y1JDajFEZDlYZ0c4T3BJZHJiUUE%7C%7C?hl=en", "View Link")</f>
        <v>View Link</v>
      </c>
      <c r="L85" s="3"/>
    </row>
    <row r="86" spans="1:12" ht="20" customHeight="1">
      <c r="A86" s="2"/>
      <c r="B86" s="2"/>
      <c r="C86" s="2"/>
      <c r="D86" s="2"/>
      <c r="E86" s="3"/>
      <c r="F86" s="4"/>
      <c r="G86" s="5" t="s">
        <v>293</v>
      </c>
      <c r="H86" s="4">
        <v>1</v>
      </c>
      <c r="I86" s="2" t="s">
        <v>294</v>
      </c>
      <c r="J86" s="4" t="s">
        <v>295</v>
      </c>
      <c r="K86" s="3" t="str">
        <f>HYPERLINK("https://www.google.com/maps/reviews/data=!4m8!14m7!1m6!2m5!1sCi9DQUlRQUNvZENodHljRjlvT214NE9WQlZhekpqVEhNd1pEbHBSMlpZT1RKMVFrRRAB!2m1!1s0x0:0x156a8f70a0e31903!3m1!1s2@1:CAIQACodChtycF9oOmx4OVBVazJjTHMwZDlpR2ZYOTJ1QkE%7C%7C?hl=en", "View Link")</f>
        <v>View Link</v>
      </c>
      <c r="L86" s="3"/>
    </row>
    <row r="87" spans="1:12" ht="20" customHeight="1">
      <c r="A87" s="2"/>
      <c r="B87" s="2"/>
      <c r="C87" s="2"/>
      <c r="D87" s="2"/>
      <c r="E87" s="3"/>
      <c r="F87" s="4"/>
      <c r="G87" s="5" t="s">
        <v>296</v>
      </c>
      <c r="H87" s="4">
        <v>1</v>
      </c>
      <c r="I87" s="2" t="s">
        <v>297</v>
      </c>
      <c r="J87" s="4" t="s">
        <v>298</v>
      </c>
      <c r="K87" s="3" t="str">
        <f>HYPERLINK("https://www.google.com/maps/reviews/data=!4m8!14m7!1m6!2m5!1sCi9DQUlRQUNvZENodHljRjlvT2prMVFsb3pNMnN4Y2pGWk4zWmhSR1V6Ym5kV2VWRRAB!2m1!1s0x0:0x156a8f70a0e31903!3m1!1s2@1:CAIQACodChtycF9oOjk1QlozM2sxcjFZN3ZhRGUzbndWeVE%7C%7C?hl=en", "View Link")</f>
        <v>View Link</v>
      </c>
      <c r="L87" s="3"/>
    </row>
    <row r="88" spans="1:12" ht="20" customHeight="1">
      <c r="A88" s="2"/>
      <c r="B88" s="2"/>
      <c r="C88" s="2"/>
      <c r="D88" s="2"/>
      <c r="E88" s="3"/>
      <c r="F88" s="4"/>
      <c r="G88" s="5" t="s">
        <v>299</v>
      </c>
      <c r="H88" s="4">
        <v>1</v>
      </c>
      <c r="I88" s="2" t="s">
        <v>300</v>
      </c>
      <c r="J88" s="4" t="s">
        <v>301</v>
      </c>
      <c r="K88" s="3" t="str">
        <f>HYPERLINK("https://www.google.com/maps/reviews/data=!4m8!14m7!1m6!2m5!1sChZDSUhNMG9nS0VJQ0FnSUQ3cXNqVFJBEAE!2m1!1s0x0:0x156a8f70a0e31903!3m1!1s2@1:CIHM0ogKEICAgID7qsjTRA%7C%7C?hl=en", "View Link")</f>
        <v>View Link</v>
      </c>
      <c r="L88" s="3"/>
    </row>
    <row r="89" spans="1:12" ht="20" customHeight="1">
      <c r="A89" s="2"/>
      <c r="B89" s="2"/>
      <c r="C89" s="2"/>
      <c r="D89" s="2"/>
      <c r="E89" s="3"/>
      <c r="F89" s="4"/>
      <c r="G89" s="5" t="s">
        <v>290</v>
      </c>
      <c r="H89" s="4">
        <v>1</v>
      </c>
      <c r="I89" s="2" t="s">
        <v>302</v>
      </c>
      <c r="J89" s="4" t="s">
        <v>303</v>
      </c>
      <c r="K89" s="3" t="str">
        <f>HYPERLINK("https://www.google.com/maps/reviews/data=!4m8!14m7!1m6!2m5!1sChdDSUhNMG9nS0VJQ0FnSUNidks2TnlRRRAB!2m1!1s0x0:0x156a8f70a0e31903!3m1!1s2@1:CIHM0ogKEICAgICbvK6NyQE%7C%7C?hl=en", "View Link")</f>
        <v>View Link</v>
      </c>
      <c r="L89" s="3"/>
    </row>
    <row r="90" spans="1:12" ht="20" customHeight="1">
      <c r="A90" s="2"/>
      <c r="B90" s="2"/>
      <c r="C90" s="2"/>
      <c r="D90" s="2"/>
      <c r="E90" s="3"/>
      <c r="F90" s="4"/>
      <c r="G90" s="5" t="s">
        <v>304</v>
      </c>
      <c r="H90" s="4">
        <v>1</v>
      </c>
      <c r="I90" s="2" t="s">
        <v>305</v>
      </c>
      <c r="J90" s="4" t="s">
        <v>306</v>
      </c>
      <c r="K90" s="3" t="str">
        <f>HYPERLINK("https://www.google.com/maps/reviews/data=!4m8!14m7!1m6!2m5!1sChZDSUhNMG9nS0VJQ0FnSURlNEtxQWNnEAE!2m1!1s0x0:0x156a8f70a0e31903!3m1!1s2@1:CIHM0ogKEICAgIDe4KqAcg%7C%7C?hl=en", "View Link")</f>
        <v>View Link</v>
      </c>
      <c r="L90" s="3"/>
    </row>
    <row r="91" spans="1:12" ht="20" customHeight="1">
      <c r="A91" s="2"/>
      <c r="B91" s="2"/>
      <c r="C91" s="2"/>
      <c r="D91" s="2"/>
      <c r="E91" s="3"/>
      <c r="F91" s="4"/>
      <c r="G91" s="5" t="s">
        <v>307</v>
      </c>
      <c r="H91" s="4">
        <v>1</v>
      </c>
      <c r="I91" s="2" t="s">
        <v>308</v>
      </c>
      <c r="J91" s="4" t="s">
        <v>309</v>
      </c>
      <c r="K91" s="3" t="str">
        <f>HYPERLINK("https://www.google.com/maps/reviews/data=!4m8!14m7!1m6!2m5!1sChdDSUhNMG9nS0VJQ0FnSUNpaHZhODhRRRAB!2m1!1s0x0:0x156a8f70a0e31903!3m1!1s2@1:CIHM0ogKEICAgICihva88QE%7C%7C?hl=en", "View Link")</f>
        <v>View Link</v>
      </c>
      <c r="L91" s="3"/>
    </row>
    <row r="92" spans="1:12" ht="20" customHeight="1">
      <c r="A92" s="2"/>
      <c r="B92" s="2"/>
      <c r="C92" s="2"/>
      <c r="D92" s="2"/>
      <c r="E92" s="3"/>
      <c r="F92" s="4"/>
      <c r="G92" s="5" t="s">
        <v>310</v>
      </c>
      <c r="H92" s="4">
        <v>1</v>
      </c>
      <c r="I92" s="2" t="s">
        <v>311</v>
      </c>
      <c r="J92" s="4" t="s">
        <v>312</v>
      </c>
      <c r="K92" s="3" t="str">
        <f>HYPERLINK("https://www.google.com/maps/reviews/data=!4m8!14m7!1m6!2m5!1sChdDSUhNMG9nS0VJQ0FnTURJMXBQTTFRRRAB!2m1!1s0x0:0x156a8f70a0e31903!3m1!1s2@1:CIHM0ogKEICAgMDI1pPM1QE%7C%7C?hl=en", "View Link")</f>
        <v>View Link</v>
      </c>
      <c r="L92" s="3"/>
    </row>
    <row r="93" spans="1:12" ht="20" customHeight="1">
      <c r="A93" s="2"/>
      <c r="B93" s="2"/>
      <c r="C93" s="2"/>
      <c r="D93" s="2"/>
      <c r="E93" s="3"/>
      <c r="F93" s="4"/>
      <c r="G93" s="5" t="s">
        <v>313</v>
      </c>
      <c r="H93" s="4">
        <v>1</v>
      </c>
      <c r="I93" s="2"/>
      <c r="J93" s="4" t="s">
        <v>314</v>
      </c>
      <c r="K93" s="3" t="str">
        <f>HYPERLINK("https://www.google.com/maps/reviews/data=!4m8!14m7!1m6!2m5!1sCi9DQUlRQUNvZENodHljRjlvT2xaMWRGOWxlazVVVjE4NVMxRkJTRmRrU21vMWVXYxAB!2m1!1s0x0:0x156a8f70a0e31903!3m1!1s2@1:CAIQACodChtycF9oOlZ1dF9lek5UV185S1FBSFdkSmo1eWc%7C%7C?hl=en", "View Link")</f>
        <v>View Link</v>
      </c>
      <c r="L93" s="3"/>
    </row>
    <row r="94" spans="1:12" ht="20" customHeight="1">
      <c r="A94" s="2"/>
      <c r="B94" s="2"/>
      <c r="C94" s="2"/>
      <c r="D94" s="2"/>
      <c r="E94" s="3"/>
      <c r="F94" s="4"/>
      <c r="G94" s="5" t="s">
        <v>315</v>
      </c>
      <c r="H94" s="4">
        <v>1</v>
      </c>
      <c r="I94" s="2"/>
      <c r="J94" s="4" t="s">
        <v>316</v>
      </c>
      <c r="K94" s="3" t="str">
        <f>HYPERLINK("https://www.google.com/maps/reviews/data=!4m8!14m7!1m6!2m5!1sCi9DQUlRQUNvZENodHljRjlvT2xwMmRXTjZkRUpJYjJOcFNteFVNbEJuVVVSZmJsRRAB!2m1!1s0x0:0x156a8f70a0e31903!3m1!1s2@1:CAIQACodChtycF9oOlp2dWN6dEJIb2NpSmxUMlBnUURfblE%7C%7C?hl=en", "View Link")</f>
        <v>View Link</v>
      </c>
      <c r="L94" s="3"/>
    </row>
    <row r="95" spans="1:12" ht="20" customHeight="1">
      <c r="A95" s="2"/>
      <c r="B95" s="2"/>
      <c r="C95" s="2"/>
      <c r="D95" s="2"/>
      <c r="E95" s="3"/>
      <c r="F95" s="4"/>
      <c r="G95" s="5" t="s">
        <v>317</v>
      </c>
      <c r="H95" s="4">
        <v>1</v>
      </c>
      <c r="I95" s="2"/>
      <c r="J95" s="4" t="s">
        <v>318</v>
      </c>
      <c r="K95" s="3" t="str">
        <f>HYPERLINK("https://www.google.com/maps/reviews/data=!4m8!14m7!1m6!2m5!1sChdDSUhNMG9nS0VJQ0FnSUMwenRDSHVnRRAB!2m1!1s0x0:0x156a8f70a0e31903!3m1!1s2@1:CIHM0ogKEICAgIC0ztCHugE%7C%7C?hl=en", "View Link")</f>
        <v>View Link</v>
      </c>
      <c r="L95" s="3"/>
    </row>
    <row r="96" spans="1:12" ht="20" customHeight="1">
      <c r="A96" s="2"/>
      <c r="B96" s="2"/>
      <c r="C96" s="2"/>
      <c r="D96" s="2"/>
      <c r="E96" s="3"/>
      <c r="F96" s="4"/>
      <c r="G96" s="5" t="s">
        <v>319</v>
      </c>
      <c r="H96" s="4">
        <v>2</v>
      </c>
      <c r="I96" s="2" t="s">
        <v>320</v>
      </c>
      <c r="J96" s="4" t="s">
        <v>321</v>
      </c>
      <c r="K96" s="3" t="str">
        <f>HYPERLINK("https://www.google.com/maps/reviews/data=!4m8!14m7!1m6!2m5!1sCi9DQUlRQUNvZENodHljRjlvT2xwRWRrVm1TM1JZWTAwM1QyNDJTWEJCVFRKNWFIYxAB!2m1!1s0x0:0x156a8f70a0e31903!3m1!1s2@1:CAIQACodChtycF9oOlpEdkVmS3RYY003T242SXBBTTJ5aHc%7C%7C?hl=en", "View Link")</f>
        <v>View Link</v>
      </c>
      <c r="L96" s="3"/>
    </row>
    <row r="97" spans="1:12" ht="20" customHeight="1">
      <c r="A97" s="2"/>
      <c r="B97" s="2"/>
      <c r="C97" s="2"/>
      <c r="D97" s="2"/>
      <c r="E97" s="3"/>
      <c r="F97" s="4"/>
      <c r="G97" s="5" t="s">
        <v>322</v>
      </c>
      <c r="H97" s="4">
        <v>3</v>
      </c>
      <c r="I97" s="2" t="s">
        <v>323</v>
      </c>
      <c r="J97" s="4" t="s">
        <v>324</v>
      </c>
      <c r="K97" s="3" t="str">
        <f>HYPERLINK("https://www.google.com/maps/reviews/data=!4m8!14m7!1m6!2m5!1sChdDSUhNMG9nS0VJQ0FnSURDZzVMLXR3RRAB!2m1!1s0x0:0x156a8f70a0e31903!3m1!1s2@1:CIHM0ogKEICAgIDCg5L-twE%7C%7C?hl=en", "View Link")</f>
        <v>View Link</v>
      </c>
      <c r="L97" s="3"/>
    </row>
    <row r="98" spans="1:12" ht="20" customHeight="1">
      <c r="A98" s="2"/>
      <c r="B98" s="2"/>
      <c r="C98" s="2"/>
      <c r="D98" s="2"/>
      <c r="E98" s="3"/>
      <c r="F98" s="4"/>
      <c r="G98" s="5" t="s">
        <v>325</v>
      </c>
      <c r="H98" s="4">
        <v>3</v>
      </c>
      <c r="I98" s="2"/>
      <c r="J98" s="4" t="s">
        <v>326</v>
      </c>
      <c r="K98" s="3" t="str">
        <f>HYPERLINK("https://www.google.com/maps/reviews/data=!4m8!14m7!1m6!2m5!1sChdDSUhNMG9nS0VJQ0FnSUQwemVEU3VnRRAB!2m1!1s0x0:0x156a8f70a0e31903!3m1!1s2@1:CIHM0ogKEICAgID0zeDSugE%7C%7C?hl=en", "View Link")</f>
        <v>View Link</v>
      </c>
      <c r="L98" s="3"/>
    </row>
    <row r="99" spans="1:12" ht="20" customHeight="1">
      <c r="A99" s="2" t="s">
        <v>327</v>
      </c>
      <c r="B99" s="2" t="s">
        <v>328</v>
      </c>
      <c r="C99" s="2" t="s">
        <v>329</v>
      </c>
      <c r="D99" s="2" t="s">
        <v>330</v>
      </c>
      <c r="E99" s="3">
        <f>HYPERLINK("https://www.centredermagirona.cat/", "Visit Website")</f>
        <v>0</v>
      </c>
      <c r="F99" s="4">
        <v>3.1</v>
      </c>
      <c r="G99" s="5" t="s">
        <v>229</v>
      </c>
      <c r="H99" s="4">
        <v>1</v>
      </c>
      <c r="I99" s="2" t="s">
        <v>331</v>
      </c>
      <c r="J99" s="4" t="s">
        <v>332</v>
      </c>
      <c r="K99" s="3" t="str">
        <f>HYPERLINK("https://www.google.com/maps/reviews/data=!4m8!14m7!1m6!2m5!1sChZDSUhNMG9nS0VJQ0FnSUNqb1pXVktREAE!2m1!1s0x0:0xffc8c26c5fe63309!3m1!1s2@1:CIHM0ogKEICAgICjoZWVKQ%7C%7C?hl=en", "View Link")</f>
        <v>View Link</v>
      </c>
      <c r="L99" s="3">
        <f>HYPERLINK("https://www.google.com/maps/search/?api=1&amp;query=Centre%20Dermatol%C3%B2gic%20Girona&amp;query_place_id=ChIJDz0jbybnuhIRCTPmX2zCyP8", "Open Map")</f>
        <v>0</v>
      </c>
    </row>
    <row r="100" spans="1:12" ht="20" customHeight="1">
      <c r="A100" s="2"/>
      <c r="B100" s="2"/>
      <c r="C100" s="2"/>
      <c r="D100" s="2"/>
      <c r="E100" s="3"/>
      <c r="F100" s="4"/>
      <c r="G100" s="5" t="s">
        <v>333</v>
      </c>
      <c r="H100" s="4">
        <v>1</v>
      </c>
      <c r="I100" s="2" t="s">
        <v>334</v>
      </c>
      <c r="J100" s="4" t="s">
        <v>335</v>
      </c>
      <c r="K100" s="3" t="str">
        <f>HYPERLINK("https://www.google.com/maps/reviews/data=!4m8!14m7!1m6!2m5!1sChdDSUhNMG9nS0VJQ0FnSURqbnFpanJRRRAB!2m1!1s0x0:0xffc8c26c5fe63309!3m1!1s2@1:CIHM0ogKEICAgIDjnqijrQE%7C%7C?hl=en", "View Link")</f>
        <v>View Link</v>
      </c>
      <c r="L100" s="3"/>
    </row>
    <row r="101" spans="1:12" ht="20" customHeight="1">
      <c r="A101" s="2"/>
      <c r="B101" s="2"/>
      <c r="C101" s="2"/>
      <c r="D101" s="2"/>
      <c r="E101" s="3"/>
      <c r="F101" s="4"/>
      <c r="G101" s="5" t="s">
        <v>336</v>
      </c>
      <c r="H101" s="4">
        <v>1</v>
      </c>
      <c r="I101" s="2" t="s">
        <v>337</v>
      </c>
      <c r="J101" s="4" t="s">
        <v>338</v>
      </c>
      <c r="K101" s="3" t="str">
        <f>HYPERLINK("https://www.google.com/maps/reviews/data=!4m8!14m7!1m6!2m5!1sChZDSUhNMG9nS0VJQ0FnSURINTlHMmR3EAE!2m1!1s0x0:0xffc8c26c5fe63309!3m1!1s2@1:CIHM0ogKEICAgIDH59G2dw%7C%7C?hl=en", "View Link")</f>
        <v>View Link</v>
      </c>
      <c r="L101" s="3"/>
    </row>
    <row r="102" spans="1:12" ht="20" customHeight="1">
      <c r="A102" s="2"/>
      <c r="B102" s="2"/>
      <c r="C102" s="2"/>
      <c r="D102" s="2"/>
      <c r="E102" s="3"/>
      <c r="F102" s="4"/>
      <c r="G102" s="5" t="s">
        <v>339</v>
      </c>
      <c r="H102" s="4">
        <v>1</v>
      </c>
      <c r="I102" s="2"/>
      <c r="J102" s="4" t="s">
        <v>340</v>
      </c>
      <c r="K102" s="3" t="str">
        <f>HYPERLINK("https://www.google.com/maps/reviews/data=!4m8!14m7!1m6!2m5!1sChZDSUhNMG9nS0VJQ0FnSURydjh1UFVBEAE!2m1!1s0x0:0xffc8c26c5fe63309!3m1!1s2@1:CIHM0ogKEICAgIDrv8uPUA%7C%7C?hl=en", "View Link")</f>
        <v>View Link</v>
      </c>
      <c r="L102" s="3"/>
    </row>
    <row r="103" spans="1:12" ht="20" customHeight="1">
      <c r="A103" s="2"/>
      <c r="B103" s="2"/>
      <c r="C103" s="2"/>
      <c r="D103" s="2"/>
      <c r="E103" s="3"/>
      <c r="F103" s="4"/>
      <c r="G103" s="5" t="s">
        <v>341</v>
      </c>
      <c r="H103" s="4">
        <v>2</v>
      </c>
      <c r="I103" s="2"/>
      <c r="J103" s="4" t="s">
        <v>342</v>
      </c>
      <c r="K103" s="3" t="str">
        <f>HYPERLINK("https://www.google.com/maps/reviews/data=!4m8!14m7!1m6!2m5!1sCi9DQUlRQUNvZENodHljRjlvT2xKRFptMXRjVzR5WjI5eFRFZ3lRVmhrVjFOMlRFRRAB!2m1!1s0x0:0xffc8c26c5fe63309!3m1!1s2@1:CAIQACodChtycF9oOlJDZm1tcW4yZ29xTEgyQVhkV1N2TEE%7C%7C?hl=en", "View Link")</f>
        <v>View Link</v>
      </c>
      <c r="L103" s="3"/>
    </row>
    <row r="104" spans="1:12" ht="20" customHeight="1">
      <c r="A104" s="2" t="s">
        <v>343</v>
      </c>
      <c r="B104" s="2" t="s">
        <v>344</v>
      </c>
      <c r="C104" s="2" t="s">
        <v>345</v>
      </c>
      <c r="D104" s="2" t="s">
        <v>346</v>
      </c>
      <c r="E104" s="3">
        <f>HYPERLINK("http://www.clinicagirona.cat/", "Visit Website")</f>
        <v>0</v>
      </c>
      <c r="F104" s="4">
        <v>2.3</v>
      </c>
      <c r="G104" s="5" t="s">
        <v>347</v>
      </c>
      <c r="H104" s="4">
        <v>1</v>
      </c>
      <c r="I104" s="2" t="s">
        <v>348</v>
      </c>
      <c r="J104" s="4" t="s">
        <v>349</v>
      </c>
      <c r="K104" s="3" t="str">
        <f>HYPERLINK("https://www.google.com/maps/reviews/data=!4m8!14m7!1m6!2m5!1sChZDSUhNMG9nS0VJQ0FnSUQ2aHFEb2R3EAE!2m1!1s0x0:0x955a7dd7808941a!3m1!1s2@1:CIHM0ogKEICAgID6hqDodw%7C%7C?hl=en-US", "View Link")</f>
        <v>View Link</v>
      </c>
      <c r="L104" s="3">
        <f>HYPERLINK("https://www.google.com/maps/search/?api=1&amp;query=Cl%C3%ADnica%20Girona%20Dermatolog%C3%ADa&amp;query_place_id=ChIJ7WDOMt_muhIRGpQIeN2nVQk", "Open Map")</f>
        <v>0</v>
      </c>
    </row>
    <row r="105" spans="1:12" ht="20" customHeight="1">
      <c r="A105" s="2"/>
      <c r="B105" s="2"/>
      <c r="C105" s="2"/>
      <c r="D105" s="2"/>
      <c r="E105" s="3"/>
      <c r="F105" s="4"/>
      <c r="G105" s="5" t="s">
        <v>350</v>
      </c>
      <c r="H105" s="4">
        <v>1</v>
      </c>
      <c r="I105" s="2"/>
      <c r="J105" s="4" t="s">
        <v>351</v>
      </c>
      <c r="K105" s="3" t="str">
        <f>HYPERLINK("https://www.google.com/maps/reviews/data=!4m8!14m7!1m6!2m5!1sChdDSUhNMG9nS0VJQ0FnSUNmOXVPSjlBRRAB!2m1!1s0x0:0x955a7dd7808941a!3m1!1s2@1:CIHM0ogKEICAgICf9uOJ9AE%7C%7C?hl=en-US", "View Link")</f>
        <v>View Link</v>
      </c>
      <c r="L105" s="3"/>
    </row>
    <row r="106" spans="1:12" ht="20" customHeight="1">
      <c r="A106" s="2"/>
      <c r="B106" s="2"/>
      <c r="C106" s="2"/>
      <c r="D106" s="2"/>
      <c r="E106" s="3"/>
      <c r="F106" s="4"/>
      <c r="G106" s="5" t="s">
        <v>352</v>
      </c>
      <c r="H106" s="4">
        <v>3</v>
      </c>
      <c r="I106" s="2" t="s">
        <v>353</v>
      </c>
      <c r="J106" s="4" t="s">
        <v>354</v>
      </c>
      <c r="K106" s="3" t="str">
        <f>HYPERLINK("https://www.google.com/maps/reviews/data=!4m8!14m7!1m6!2m5!1sChZDSUhNMG9nS0VJQ0FnSUROLV9QM09nEAE!2m1!1s0x0:0x955a7dd7808941a!3m1!1s2@1:CIHM0ogKEICAgIDN-_P3Og%7C%7C?hl=en-US", "View Link")</f>
        <v>View Link</v>
      </c>
      <c r="L106" s="3"/>
    </row>
    <row r="107" spans="1:12" ht="20" customHeight="1">
      <c r="A107" s="2" t="s">
        <v>355</v>
      </c>
      <c r="B107" s="2" t="s">
        <v>356</v>
      </c>
      <c r="C107" s="2" t="s">
        <v>357</v>
      </c>
      <c r="D107" s="2" t="s">
        <v>358</v>
      </c>
      <c r="E107" s="3">
        <f>HYPERLINK("http://www.creublava.com/", "Visit Website")</f>
        <v>0</v>
      </c>
      <c r="F107" s="4">
        <v>3.8</v>
      </c>
      <c r="G107" s="5" t="s">
        <v>359</v>
      </c>
      <c r="H107" s="4">
        <v>1</v>
      </c>
      <c r="I107" s="2" t="s">
        <v>360</v>
      </c>
      <c r="J107" s="4" t="s">
        <v>361</v>
      </c>
      <c r="K107" s="3" t="str">
        <f>HYPERLINK("https://www.google.com/maps/reviews/data=!4m8!14m7!1m6!2m5!1sCi9DQUlRQUNvZENodHljRjlvT2kxV2FWWlJiREo0U0VsRk4xRm5hM2RWUVROelRsRRAB!2m1!1s0x0:0x6eb04bdeecf0e3dd!3m1!1s2@1:CAIQACodChtycF9oOi1WaVZRbDJ4SElFN1Fna3dVQTNzTlE%7C%7C?hl=en", "View Link")</f>
        <v>View Link</v>
      </c>
      <c r="L107" s="3">
        <f>HYPERLINK("https://www.google.com/maps/search/?api=1&amp;query=Consultori%20M%C3%A8dic%20Creu%20Blava&amp;query_place_id=ChIJB0vUs4A-uxIR3ePw7N5LsG4", "Open Map")</f>
        <v>0</v>
      </c>
    </row>
    <row r="108" spans="1:12" ht="20" customHeight="1">
      <c r="A108" s="2"/>
      <c r="B108" s="2"/>
      <c r="C108" s="2"/>
      <c r="D108" s="2"/>
      <c r="E108" s="3"/>
      <c r="F108" s="4"/>
      <c r="G108" s="5" t="s">
        <v>362</v>
      </c>
      <c r="H108" s="4">
        <v>1</v>
      </c>
      <c r="I108" s="2" t="s">
        <v>363</v>
      </c>
      <c r="J108" s="4" t="s">
        <v>364</v>
      </c>
      <c r="K108" s="3" t="str">
        <f>HYPERLINK("https://www.google.com/maps/reviews/data=!4m8!14m7!1m6!2m5!1sCi9DQUlRQUNvZENodHljRjlvT201NVIxTjJSR0ZaV0U1WldFd3pSbkZaWkRFeFpHYxAB!2m1!1s0x0:0x6eb04bdeecf0e3dd!3m1!1s2@1:CAIQACodChtycF9oOm55R1N2RGFZWE5ZWEwzRnFZZDExZGc%7C%7C?hl=en", "View Link")</f>
        <v>View Link</v>
      </c>
      <c r="L108" s="3"/>
    </row>
    <row r="109" spans="1:12" ht="20" customHeight="1">
      <c r="A109" s="2"/>
      <c r="B109" s="2"/>
      <c r="C109" s="2"/>
      <c r="D109" s="2"/>
      <c r="E109" s="3"/>
      <c r="F109" s="4"/>
      <c r="G109" s="5" t="s">
        <v>365</v>
      </c>
      <c r="H109" s="4">
        <v>1</v>
      </c>
      <c r="I109" s="2" t="s">
        <v>366</v>
      </c>
      <c r="J109" s="4" t="s">
        <v>367</v>
      </c>
      <c r="K109" s="3" t="str">
        <f>HYPERLINK("https://www.google.com/maps/reviews/data=!4m8!14m7!1m6!2m5!1sCi9DQUlRQUNvZENodHljRjlvT2taNk9IWnZSbEZxWW1WNU5EQnVhVWRSTjBKMVIwRRAB!2m1!1s0x0:0x6eb04bdeecf0e3dd!3m1!1s2@1:CAIQACodChtycF9oOkZ6OHZvRlFqYmV5NDBuaUdRN0J1R0E%7C%7C?hl=en", "View Link")</f>
        <v>View Link</v>
      </c>
      <c r="L109" s="3"/>
    </row>
    <row r="110" spans="1:12" ht="20" customHeight="1">
      <c r="A110" s="2"/>
      <c r="B110" s="2"/>
      <c r="C110" s="2"/>
      <c r="D110" s="2"/>
      <c r="E110" s="3"/>
      <c r="F110" s="4"/>
      <c r="G110" s="5" t="s">
        <v>368</v>
      </c>
      <c r="H110" s="4">
        <v>1</v>
      </c>
      <c r="I110" s="2" t="s">
        <v>369</v>
      </c>
      <c r="J110" s="4" t="s">
        <v>370</v>
      </c>
      <c r="K110" s="3" t="str">
        <f>HYPERLINK("https://www.google.com/maps/reviews/data=!4m8!14m7!1m6!2m5!1sCi9DQUlRQUNvZENodHljRjlvT20wemVXOUhXVUpQVVZCV01YcDNNa2RtYWtweGFsRRAB!2m1!1s0x0:0x6eb04bdeecf0e3dd!3m1!1s2@1:CAIQACodChtycF9oOm0zeW9HWUJPUVBWMXp3MkdmakpxalE%7C%7C?hl=en", "View Link")</f>
        <v>View Link</v>
      </c>
      <c r="L110" s="3"/>
    </row>
    <row r="111" spans="1:12" ht="20" customHeight="1">
      <c r="A111" s="2"/>
      <c r="B111" s="2"/>
      <c r="C111" s="2"/>
      <c r="D111" s="2"/>
      <c r="E111" s="3"/>
      <c r="F111" s="4"/>
      <c r="G111" s="5" t="s">
        <v>371</v>
      </c>
      <c r="H111" s="4">
        <v>1</v>
      </c>
      <c r="I111" s="2" t="s">
        <v>372</v>
      </c>
      <c r="J111" s="4" t="s">
        <v>373</v>
      </c>
      <c r="K111" s="3" t="str">
        <f>HYPERLINK("https://www.google.com/maps/reviews/data=!4m8!14m7!1m6!2m5!1sCi9DQUlRQUNvZENodHljRjlvT2tWelJqZHdkRmxDZHpsWE5WOVVhbnBzV1ZGamJHYxAB!2m1!1s0x0:0x6eb04bdeecf0e3dd!3m1!1s2@1:CAIQACodChtycF9oOkVzRjdwdFlCdzlXNV9UanpsWVFjbGc%7C%7C?hl=en", "View Link")</f>
        <v>View Link</v>
      </c>
      <c r="L111" s="3"/>
    </row>
    <row r="112" spans="1:12" ht="20" customHeight="1">
      <c r="A112" s="2"/>
      <c r="B112" s="2"/>
      <c r="C112" s="2"/>
      <c r="D112" s="2"/>
      <c r="E112" s="3"/>
      <c r="F112" s="4"/>
      <c r="G112" s="5" t="s">
        <v>374</v>
      </c>
      <c r="H112" s="4">
        <v>1</v>
      </c>
      <c r="I112" s="2" t="s">
        <v>375</v>
      </c>
      <c r="J112" s="4" t="s">
        <v>376</v>
      </c>
      <c r="K112" s="3" t="str">
        <f>HYPERLINK("https://www.google.com/maps/reviews/data=!4m8!14m7!1m6!2m5!1sCi9DQUlRQUNvZENodHljRjlvT204dGQzaHZZemxNT1cwMGNsaHNNVkpWVmxoUGNGRRAB!2m1!1s0x0:0x6eb04bdeecf0e3dd!3m1!1s2@1:CAIQACodChtycF9oOm8td3hvYzlMOW00clhsMVJVVlhPcFE%7C%7C?hl=en", "View Link")</f>
        <v>View Link</v>
      </c>
      <c r="L112" s="3"/>
    </row>
    <row r="113" spans="1:12" ht="20" customHeight="1">
      <c r="A113" s="2"/>
      <c r="B113" s="2"/>
      <c r="C113" s="2"/>
      <c r="D113" s="2"/>
      <c r="E113" s="3"/>
      <c r="F113" s="4"/>
      <c r="G113" s="5" t="s">
        <v>377</v>
      </c>
      <c r="H113" s="4">
        <v>1</v>
      </c>
      <c r="I113" s="2" t="s">
        <v>378</v>
      </c>
      <c r="J113" s="4" t="s">
        <v>379</v>
      </c>
      <c r="K113" s="3" t="str">
        <f>HYPERLINK("https://www.google.com/maps/reviews/data=!4m8!14m7!1m6!2m5!1sCi9DQUlRQUNvZENodHljRjlvT2pkNldtTlpRVTlQZEdkTGVrdHdNRTF5Vld0RVJuYxAB!2m1!1s0x0:0x6eb04bdeecf0e3dd!3m1!1s2@1:CAIQACodChtycF9oOjd6WmNZQU9PdGdLektwME1yVWtERnc%7C%7C?hl=en", "View Link")</f>
        <v>View Link</v>
      </c>
      <c r="L113" s="3"/>
    </row>
    <row r="114" spans="1:12" ht="20" customHeight="1">
      <c r="A114" s="2"/>
      <c r="B114" s="2"/>
      <c r="C114" s="2"/>
      <c r="D114" s="2"/>
      <c r="E114" s="3"/>
      <c r="F114" s="4"/>
      <c r="G114" s="5" t="s">
        <v>380</v>
      </c>
      <c r="H114" s="4">
        <v>1</v>
      </c>
      <c r="I114" s="2" t="s">
        <v>381</v>
      </c>
      <c r="J114" s="4" t="s">
        <v>382</v>
      </c>
      <c r="K114" s="3" t="str">
        <f>HYPERLINK("https://www.google.com/maps/reviews/data=!4m8!14m7!1m6!2m5!1sCi9DQUlRQUNvZENodHljRjlvT25wQ2JtMWFiblF3ZDNCYVZFdDFkWE40Wkd4amNrRRAB!2m1!1s0x0:0x6eb04bdeecf0e3dd!3m1!1s2@1:CAIQACodChtycF9oOnpCbm1abnQwd3BaVEt1dXN4ZGxjckE%7C%7C?hl=en", "View Link")</f>
        <v>View Link</v>
      </c>
      <c r="L114" s="3"/>
    </row>
    <row r="115" spans="1:12" ht="20" customHeight="1">
      <c r="A115" s="2"/>
      <c r="B115" s="2"/>
      <c r="C115" s="2"/>
      <c r="D115" s="2"/>
      <c r="E115" s="3"/>
      <c r="F115" s="4"/>
      <c r="G115" s="5" t="s">
        <v>383</v>
      </c>
      <c r="H115" s="4">
        <v>1</v>
      </c>
      <c r="I115" s="2" t="s">
        <v>384</v>
      </c>
      <c r="J115" s="4" t="s">
        <v>385</v>
      </c>
      <c r="K115" s="3" t="str">
        <f>HYPERLINK("https://www.google.com/maps/reviews/data=!4m8!14m7!1m6!2m5!1sCi9DQUlRQUNvZENodHljRjlvT21Fd1pGaG9ZM2gwVWtoeE1IVXlaR05hZEdwRlNHYxAB!2m1!1s0x0:0x6eb04bdeecf0e3dd!3m1!1s2@1:CAIQACodChtycF9oOmEwZFhoY3h0UkhxMHUyZGNadGpFSGc%7C%7C?hl=en", "View Link")</f>
        <v>View Link</v>
      </c>
      <c r="L115" s="3"/>
    </row>
    <row r="116" spans="1:12" ht="20" customHeight="1">
      <c r="A116" s="2"/>
      <c r="B116" s="2"/>
      <c r="C116" s="2"/>
      <c r="D116" s="2"/>
      <c r="E116" s="3"/>
      <c r="F116" s="4"/>
      <c r="G116" s="5" t="s">
        <v>386</v>
      </c>
      <c r="H116" s="4">
        <v>1</v>
      </c>
      <c r="I116" s="2" t="s">
        <v>387</v>
      </c>
      <c r="J116" s="4" t="s">
        <v>388</v>
      </c>
      <c r="K116" s="3" t="str">
        <f>HYPERLINK("https://www.google.com/maps/reviews/data=!4m8!14m7!1m6!2m5!1sCi9DQUlRQUNvZENodHljRjlvT2xaQ2JFc3lUWGQxT1VSeVFqRklRakJvVnprdFlsRRAB!2m1!1s0x0:0x6eb04bdeecf0e3dd!3m1!1s2@1:CAIQACodChtycF9oOlZCbEsyTXd1OURyQjFIQjBoVzktYlE%7C%7C?hl=en", "View Link")</f>
        <v>View Link</v>
      </c>
      <c r="L116" s="3"/>
    </row>
    <row r="117" spans="1:12" ht="20" customHeight="1">
      <c r="A117" s="2"/>
      <c r="B117" s="2"/>
      <c r="C117" s="2"/>
      <c r="D117" s="2"/>
      <c r="E117" s="3"/>
      <c r="F117" s="4"/>
      <c r="G117" s="5" t="s">
        <v>389</v>
      </c>
      <c r="H117" s="4">
        <v>1</v>
      </c>
      <c r="I117" s="2" t="s">
        <v>390</v>
      </c>
      <c r="J117" s="4" t="s">
        <v>391</v>
      </c>
      <c r="K117" s="3" t="str">
        <f>HYPERLINK("https://www.google.com/maps/reviews/data=!4m8!14m7!1m6!2m5!1sCi9DQUlRQUNvZENodHljRjlvT2pCME0xZHdibnBQWWtreFFVOTRWRXd5VmtKalQyYxAB!2m1!1s0x0:0x6eb04bdeecf0e3dd!3m1!1s2@1:CAIQACodChtycF9oOjB0M1dwbnpPYkkxQU94VEwyVkJjT2c%7C%7C?hl=en", "View Link")</f>
        <v>View Link</v>
      </c>
      <c r="L117" s="3"/>
    </row>
    <row r="118" spans="1:12" ht="20" customHeight="1">
      <c r="A118" s="2"/>
      <c r="B118" s="2"/>
      <c r="C118" s="2"/>
      <c r="D118" s="2"/>
      <c r="E118" s="3"/>
      <c r="F118" s="4"/>
      <c r="G118" s="5" t="s">
        <v>392</v>
      </c>
      <c r="H118" s="4">
        <v>1</v>
      </c>
      <c r="I118" s="2" t="s">
        <v>393</v>
      </c>
      <c r="J118" s="4" t="s">
        <v>394</v>
      </c>
      <c r="K118" s="3" t="str">
        <f>HYPERLINK("https://www.google.com/maps/reviews/data=!4m8!14m7!1m6!2m5!1sCi9DQUlRQUNvZENodHljRjlvT2pSRmNGVnVjWGQ0UnpoeVdFRTFjVTVyWmpsc2RYYxAB!2m1!1s0x0:0x6eb04bdeecf0e3dd!3m1!1s2@1:CAIQACodChtycF9oOjRFcFVucXd4RzhyWEE1cU5rZjlsdXc%7C%7C?hl=en", "View Link")</f>
        <v>View Link</v>
      </c>
      <c r="L118" s="3"/>
    </row>
    <row r="119" spans="1:12" ht="20" customHeight="1">
      <c r="A119" s="2"/>
      <c r="B119" s="2"/>
      <c r="C119" s="2"/>
      <c r="D119" s="2"/>
      <c r="E119" s="3"/>
      <c r="F119" s="4"/>
      <c r="G119" s="5" t="s">
        <v>395</v>
      </c>
      <c r="H119" s="4">
        <v>1</v>
      </c>
      <c r="I119" s="2" t="s">
        <v>396</v>
      </c>
      <c r="J119" s="4" t="s">
        <v>397</v>
      </c>
      <c r="K119" s="3" t="str">
        <f>HYPERLINK("https://www.google.com/maps/reviews/data=!4m8!14m7!1m6!2m5!1sCi9DQUlRQUNvZENodHljRjlvT21obmVsWkhjR2RMYUZaalNIbDFkRnBxVWtab1pGRRAB!2m1!1s0x0:0x6eb04bdeecf0e3dd!3m1!1s2@1:CAIQACodChtycF9oOmhnelZHcGdLaFZjSHl1dFpqUkZoZFE%7C%7C?hl=en", "View Link")</f>
        <v>View Link</v>
      </c>
      <c r="L119" s="3"/>
    </row>
    <row r="120" spans="1:12" ht="20" customHeight="1">
      <c r="A120" s="2"/>
      <c r="B120" s="2"/>
      <c r="C120" s="2"/>
      <c r="D120" s="2"/>
      <c r="E120" s="3"/>
      <c r="F120" s="4"/>
      <c r="G120" s="5" t="s">
        <v>398</v>
      </c>
      <c r="H120" s="4">
        <v>1</v>
      </c>
      <c r="I120" s="2" t="s">
        <v>399</v>
      </c>
      <c r="J120" s="4" t="s">
        <v>400</v>
      </c>
      <c r="K120" s="3" t="str">
        <f>HYPERLINK("https://www.google.com/maps/reviews/data=!4m8!14m7!1m6!2m5!1sCi9DQUlRQUNvZENodHljRjlvT21wNWJqRlZUV2RPWDNSMFFWVTVia2c1Vm04MGRsRRAB!2m1!1s0x0:0x6eb04bdeecf0e3dd!3m1!1s2@1:CAIQACodChtycF9oOmp5bjFVTWdOX3R0QVU5bkg5Vm80dlE%7C%7C?hl=en", "View Link")</f>
        <v>View Link</v>
      </c>
      <c r="L120" s="3"/>
    </row>
    <row r="121" spans="1:12" ht="20" customHeight="1">
      <c r="A121" s="2"/>
      <c r="B121" s="2"/>
      <c r="C121" s="2"/>
      <c r="D121" s="2"/>
      <c r="E121" s="3"/>
      <c r="F121" s="4"/>
      <c r="G121" s="5" t="s">
        <v>401</v>
      </c>
      <c r="H121" s="4">
        <v>1</v>
      </c>
      <c r="I121" s="2" t="s">
        <v>402</v>
      </c>
      <c r="J121" s="4" t="s">
        <v>403</v>
      </c>
      <c r="K121" s="3" t="str">
        <f>HYPERLINK("https://www.google.com/maps/reviews/data=!4m8!14m7!1m6!2m5!1sCi9DQUlRQUNvZENodHljRjlvT2tSbmF6TTJNMDE1WmpsTVJXcGZSVzlhY25VMUxXYxAB!2m1!1s0x0:0x6eb04bdeecf0e3dd!3m1!1s2@1:CAIQACodChtycF9oOkRnazM2M015ZjlMRWpfRW9acnU1LWc%7C%7C?hl=en", "View Link")</f>
        <v>View Link</v>
      </c>
      <c r="L121" s="3"/>
    </row>
    <row r="122" spans="1:12" ht="20" customHeight="1">
      <c r="A122" s="2"/>
      <c r="B122" s="2"/>
      <c r="C122" s="2"/>
      <c r="D122" s="2"/>
      <c r="E122" s="3"/>
      <c r="F122" s="4"/>
      <c r="G122" s="5" t="s">
        <v>404</v>
      </c>
      <c r="H122" s="4">
        <v>1</v>
      </c>
      <c r="I122" s="2" t="s">
        <v>405</v>
      </c>
      <c r="J122" s="4" t="s">
        <v>406</v>
      </c>
      <c r="K122" s="3" t="str">
        <f>HYPERLINK("https://www.google.com/maps/reviews/data=!4m8!14m7!1m6!2m5!1sCi9DQUlRQUNvZENodHljRjlvT25CRVFVRnlVVmcyV0ZJd1dHZHBaV1ZIUVhVdFFVRRAB!2m1!1s0x0:0x6eb04bdeecf0e3dd!3m1!1s2@1:CAIQACodChtycF9oOnBEQUFyUVg2WFIwWGdpZWVHQXUtQUE%7C%7C?hl=en", "View Link")</f>
        <v>View Link</v>
      </c>
      <c r="L122" s="3"/>
    </row>
    <row r="123" spans="1:12" ht="20" customHeight="1">
      <c r="A123" s="2"/>
      <c r="B123" s="2"/>
      <c r="C123" s="2"/>
      <c r="D123" s="2"/>
      <c r="E123" s="3"/>
      <c r="F123" s="4"/>
      <c r="G123" s="5" t="s">
        <v>407</v>
      </c>
      <c r="H123" s="4">
        <v>1</v>
      </c>
      <c r="I123" s="2" t="s">
        <v>408</v>
      </c>
      <c r="J123" s="4" t="s">
        <v>409</v>
      </c>
      <c r="K123" s="3" t="str">
        <f>HYPERLINK("https://www.google.com/maps/reviews/data=!4m8!14m7!1m6!2m5!1sCi9DQUlRQUNvZENodHljRjlvT25Wd2NHVklkRXBtVG5wTFVFdGplbkprVGw4dFFWRRAB!2m1!1s0x0:0x6eb04bdeecf0e3dd!3m1!1s2@1:CAIQACodChtycF9oOnVwcGVIdEpmTnpLUEtjenJkTl8tQVE%7C%7C?hl=en", "View Link")</f>
        <v>View Link</v>
      </c>
      <c r="L123" s="3"/>
    </row>
    <row r="124" spans="1:12" ht="20" customHeight="1">
      <c r="A124" s="2"/>
      <c r="B124" s="2"/>
      <c r="C124" s="2"/>
      <c r="D124" s="2"/>
      <c r="E124" s="3"/>
      <c r="F124" s="4"/>
      <c r="G124" s="5" t="s">
        <v>410</v>
      </c>
      <c r="H124" s="4">
        <v>1</v>
      </c>
      <c r="I124" s="2" t="s">
        <v>411</v>
      </c>
      <c r="J124" s="4" t="s">
        <v>412</v>
      </c>
      <c r="K124" s="3" t="str">
        <f>HYPERLINK("https://www.google.com/maps/reviews/data=!4m8!14m7!1m6!2m5!1sCi9DQUlRQUNvZENodHljRjlvT201WlNrRkdNamxwUVVwUVVHTlhWV0p3YUZGM1dWRRAB!2m1!1s0x0:0x6eb04bdeecf0e3dd!3m1!1s2@1:CAIQACodChtycF9oOm5ZSkFGMjlpQUpQUGNXVWJwaFF3WVE%7C%7C?hl=en", "View Link")</f>
        <v>View Link</v>
      </c>
      <c r="L124" s="3"/>
    </row>
    <row r="125" spans="1:12" ht="20" customHeight="1">
      <c r="A125" s="2"/>
      <c r="B125" s="2"/>
      <c r="C125" s="2"/>
      <c r="D125" s="2"/>
      <c r="E125" s="3"/>
      <c r="F125" s="4"/>
      <c r="G125" s="5" t="s">
        <v>413</v>
      </c>
      <c r="H125" s="4">
        <v>1</v>
      </c>
      <c r="I125" s="2" t="s">
        <v>414</v>
      </c>
      <c r="J125" s="4" t="s">
        <v>415</v>
      </c>
      <c r="K125" s="3" t="str">
        <f>HYPERLINK("https://www.google.com/maps/reviews/data=!4m8!14m7!1m6!2m5!1sCi9DQUlRQUNvZENodHljRjlvT21GTVFqbFJNa0pQTW5Wc09UZEplVjkzUm1kemMwRRAB!2m1!1s0x0:0x6eb04bdeecf0e3dd!3m1!1s2@1:CAIQACodChtycF9oOmFMQjlRMkJPMnVsOTdJeV93Rmdzc0E%7C%7C?hl=en", "View Link")</f>
        <v>View Link</v>
      </c>
      <c r="L125" s="3"/>
    </row>
    <row r="126" spans="1:12" ht="20" customHeight="1">
      <c r="A126" s="2"/>
      <c r="B126" s="2"/>
      <c r="C126" s="2"/>
      <c r="D126" s="2"/>
      <c r="E126" s="3"/>
      <c r="F126" s="4"/>
      <c r="G126" s="5" t="s">
        <v>416</v>
      </c>
      <c r="H126" s="4">
        <v>1</v>
      </c>
      <c r="I126" s="2" t="s">
        <v>417</v>
      </c>
      <c r="J126" s="4" t="s">
        <v>418</v>
      </c>
      <c r="K126" s="3" t="str">
        <f>HYPERLINK("https://www.google.com/maps/reviews/data=!4m8!14m7!1m6!2m5!1sChZDSUhNMG9nS0VJQ0FnSUR0bWF1M1pREAE!2m1!1s0x0:0x6eb04bdeecf0e3dd!3m1!1s2@1:CIHM0ogKEICAgIDtmau3ZQ%7C%7C?hl=en", "View Link")</f>
        <v>View Link</v>
      </c>
      <c r="L126" s="3"/>
    </row>
    <row r="127" spans="1:12" ht="20" customHeight="1">
      <c r="A127" s="2" t="s">
        <v>419</v>
      </c>
      <c r="B127" s="2" t="s">
        <v>420</v>
      </c>
      <c r="C127" s="2" t="s">
        <v>421</v>
      </c>
      <c r="D127" s="2" t="s">
        <v>422</v>
      </c>
      <c r="E127" s="3">
        <f>HYPERLINK("https://www.ribeclinic.com/", "Visit Website")</f>
        <v>0</v>
      </c>
      <c r="F127" s="4">
        <v>4.2</v>
      </c>
      <c r="G127" s="5" t="s">
        <v>423</v>
      </c>
      <c r="H127" s="4">
        <v>1</v>
      </c>
      <c r="I127" s="2" t="s">
        <v>424</v>
      </c>
      <c r="J127" s="4" t="s">
        <v>425</v>
      </c>
      <c r="K127" s="3" t="str">
        <f>HYPERLINK("https://www.google.com/maps/reviews/data=!4m8!14m7!1m6!2m5!1sChdDSUhNMG9nS0VJQ0FnSUN4dWV5UWpBRRAB!2m1!1s0x0:0xc649abebe4579bc0!3m1!1s2@1:CIHM0ogKEICAgICxueyQjAE%7C%7C?hl=en", "View Link")</f>
        <v>View Link</v>
      </c>
      <c r="L127" s="3">
        <f>HYPERLINK("https://www.google.com/maps/search/?api=1&amp;query=Ribe%20Clinic&amp;query_place_id=ChIJB5_rRW6YpBIRwJtX5OurScY", "Open Map")</f>
        <v>0</v>
      </c>
    </row>
    <row r="128" spans="1:12" ht="20" customHeight="1">
      <c r="A128" s="2"/>
      <c r="B128" s="2"/>
      <c r="C128" s="2"/>
      <c r="D128" s="2"/>
      <c r="E128" s="3"/>
      <c r="F128" s="4"/>
      <c r="G128" s="5" t="s">
        <v>426</v>
      </c>
      <c r="H128" s="4">
        <v>1</v>
      </c>
      <c r="I128" s="2" t="s">
        <v>427</v>
      </c>
      <c r="J128" s="4" t="s">
        <v>428</v>
      </c>
      <c r="K128" s="3" t="str">
        <f>HYPERLINK("https://www.google.com/maps/reviews/data=!4m8!14m7!1m6!2m5!1sChdDSUhNMG9nS0VJQ0FnSURXOUlTNXBRRRAB!2m1!1s0x0:0xc649abebe4579bc0!3m1!1s2@1:CIHM0ogKEICAgIDW9IS5pQE%7C%7C?hl=en", "View Link")</f>
        <v>View Link</v>
      </c>
      <c r="L128" s="3"/>
    </row>
    <row r="129" spans="1:12" ht="20" customHeight="1">
      <c r="A129" s="2"/>
      <c r="B129" s="2"/>
      <c r="C129" s="2"/>
      <c r="D129" s="2"/>
      <c r="E129" s="3"/>
      <c r="F129" s="4"/>
      <c r="G129" s="5" t="s">
        <v>429</v>
      </c>
      <c r="H129" s="4">
        <v>1</v>
      </c>
      <c r="I129" s="2" t="s">
        <v>430</v>
      </c>
      <c r="J129" s="4" t="s">
        <v>431</v>
      </c>
      <c r="K129" s="3" t="str">
        <f>HYPERLINK("https://www.google.com/maps/reviews/data=!4m8!14m7!1m6!2m5!1sChdDSUhNMG9nS0VJQ0FnSURSbF9YRjhnRRAB!2m1!1s0x0:0xc649abebe4579bc0!3m1!1s2@1:CIHM0ogKEICAgIDRl_XF8gE%7C%7C?hl=en", "View Link")</f>
        <v>View Link</v>
      </c>
      <c r="L129" s="3"/>
    </row>
    <row r="130" spans="1:12" ht="20" customHeight="1">
      <c r="A130" s="2"/>
      <c r="B130" s="2"/>
      <c r="C130" s="2"/>
      <c r="D130" s="2"/>
      <c r="E130" s="3"/>
      <c r="F130" s="4"/>
      <c r="G130" s="5" t="s">
        <v>432</v>
      </c>
      <c r="H130" s="4">
        <v>1</v>
      </c>
      <c r="I130" s="2" t="s">
        <v>433</v>
      </c>
      <c r="J130" s="4" t="s">
        <v>434</v>
      </c>
      <c r="K130" s="3" t="str">
        <f>HYPERLINK("https://www.google.com/maps/reviews/data=!4m8!14m7!1m6!2m5!1sChZDSUhNMG9nS0VJQ0FnSUNzX2NQN2FREAE!2m1!1s0x0:0xc649abebe4579bc0!3m1!1s2@1:CIHM0ogKEICAgICs_cP7aQ%7C%7C?hl=en", "View Link")</f>
        <v>View Link</v>
      </c>
      <c r="L130" s="3"/>
    </row>
    <row r="131" spans="1:12" ht="20" customHeight="1">
      <c r="A131" s="2"/>
      <c r="B131" s="2"/>
      <c r="C131" s="2"/>
      <c r="D131" s="2"/>
      <c r="E131" s="3"/>
      <c r="F131" s="4"/>
      <c r="G131" s="5" t="s">
        <v>435</v>
      </c>
      <c r="H131" s="4">
        <v>1</v>
      </c>
      <c r="I131" s="2" t="s">
        <v>436</v>
      </c>
      <c r="J131" s="4" t="s">
        <v>437</v>
      </c>
      <c r="K131" s="3" t="str">
        <f>HYPERLINK("https://www.google.com/maps/reviews/data=!4m8!14m7!1m6!2m5!1sChZDSUhNMG9nS0VJQ0FnSUNSM09uV1dBEAE!2m1!1s0x0:0xc649abebe4579bc0!3m1!1s2@1:CIHM0ogKEICAgICR3OnWWA%7C%7C?hl=en", "View Link")</f>
        <v>View Link</v>
      </c>
      <c r="L131" s="3"/>
    </row>
    <row r="132" spans="1:12" ht="20" customHeight="1">
      <c r="A132" s="2"/>
      <c r="B132" s="2"/>
      <c r="C132" s="2"/>
      <c r="D132" s="2"/>
      <c r="E132" s="3"/>
      <c r="F132" s="4"/>
      <c r="G132" s="5" t="s">
        <v>438</v>
      </c>
      <c r="H132" s="4">
        <v>1</v>
      </c>
      <c r="I132" s="2" t="s">
        <v>439</v>
      </c>
      <c r="J132" s="4" t="s">
        <v>440</v>
      </c>
      <c r="K132" s="3" t="str">
        <f>HYPERLINK("https://www.google.com/maps/reviews/data=!4m8!14m7!1m6!2m5!1sCi9DQUlRQUNvZENodHljRjlvT25wMGNGQjBWMUpETjJaRVpIaDRVbHBETTFwbVFYYxAB!2m1!1s0x0:0xc649abebe4579bc0!3m1!1s2@1:CAIQACodChtycF9oOnp0cFB0V1JDN2ZEZHh4UlpDM1pmQXc%7C%7C?hl=en", "View Link")</f>
        <v>View Link</v>
      </c>
      <c r="L132" s="3"/>
    </row>
    <row r="133" spans="1:12" ht="20" customHeight="1">
      <c r="A133" s="2"/>
      <c r="B133" s="2"/>
      <c r="C133" s="2"/>
      <c r="D133" s="2"/>
      <c r="E133" s="3"/>
      <c r="F133" s="4"/>
      <c r="G133" s="5" t="s">
        <v>441</v>
      </c>
      <c r="H133" s="4">
        <v>1</v>
      </c>
      <c r="I133" s="2" t="s">
        <v>442</v>
      </c>
      <c r="J133" s="4" t="s">
        <v>443</v>
      </c>
      <c r="K133" s="3" t="str">
        <f>HYPERLINK("https://www.google.com/maps/reviews/data=!4m8!14m7!1m6!2m5!1sChZDSUhNMG9nS0VJQ0FnSUNodzYyV1p3EAE!2m1!1s0x0:0xc649abebe4579bc0!3m1!1s2@1:CIHM0ogKEICAgIChw62WZw%7C%7C?hl=en", "View Link")</f>
        <v>View Link</v>
      </c>
      <c r="L133" s="3"/>
    </row>
    <row r="134" spans="1:12" ht="20" customHeight="1">
      <c r="A134" s="2"/>
      <c r="B134" s="2"/>
      <c r="C134" s="2"/>
      <c r="D134" s="2"/>
      <c r="E134" s="3"/>
      <c r="F134" s="4"/>
      <c r="G134" s="5" t="s">
        <v>444</v>
      </c>
      <c r="H134" s="4">
        <v>1</v>
      </c>
      <c r="I134" s="2" t="s">
        <v>445</v>
      </c>
      <c r="J134" s="4" t="s">
        <v>446</v>
      </c>
      <c r="K134" s="3" t="str">
        <f>HYPERLINK("https://www.google.com/maps/reviews/data=!4m8!14m7!1m6!2m5!1sChZDSUhNMG9nS0VJQ0FnSURLOEtLSVJ3EAE!2m1!1s0x0:0xc649abebe4579bc0!3m1!1s2@1:CIHM0ogKEICAgIDK8KKIRw%7C%7C?hl=en", "View Link")</f>
        <v>View Link</v>
      </c>
      <c r="L134" s="3"/>
    </row>
    <row r="135" spans="1:12" ht="20" customHeight="1">
      <c r="A135" s="2"/>
      <c r="B135" s="2"/>
      <c r="C135" s="2"/>
      <c r="D135" s="2"/>
      <c r="E135" s="3"/>
      <c r="F135" s="4"/>
      <c r="G135" s="5" t="s">
        <v>447</v>
      </c>
      <c r="H135" s="4">
        <v>1</v>
      </c>
      <c r="I135" s="2" t="s">
        <v>448</v>
      </c>
      <c r="J135" s="4" t="s">
        <v>449</v>
      </c>
      <c r="K135" s="3" t="str">
        <f>HYPERLINK("https://www.google.com/maps/reviews/data=!4m8!14m7!1m6!2m5!1sChdDSUhNMG9nS0VJQ0FnSUN5OWFtYThnRRAB!2m1!1s0x0:0xc649abebe4579bc0!3m1!1s2@1:CIHM0ogKEICAgICy9ama8gE%7C%7C?hl=en", "View Link")</f>
        <v>View Link</v>
      </c>
      <c r="L135" s="3"/>
    </row>
    <row r="136" spans="1:12" ht="20" customHeight="1">
      <c r="A136" s="2"/>
      <c r="B136" s="2"/>
      <c r="C136" s="2"/>
      <c r="D136" s="2"/>
      <c r="E136" s="3"/>
      <c r="F136" s="4"/>
      <c r="G136" s="5" t="s">
        <v>450</v>
      </c>
      <c r="H136" s="4">
        <v>1</v>
      </c>
      <c r="I136" s="2" t="s">
        <v>451</v>
      </c>
      <c r="J136" s="4" t="s">
        <v>452</v>
      </c>
      <c r="K136" s="3" t="str">
        <f>HYPERLINK("https://www.google.com/maps/reviews/data=!4m8!14m7!1m6!2m5!1sChZDSUhNMG9nS0VJQ0FnSUN5eDY3SVFBEAE!2m1!1s0x0:0xc649abebe4579bc0!3m1!1s2@1:CIHM0ogKEICAgICyx67IQA%7C%7C?hl=en", "View Link")</f>
        <v>View Link</v>
      </c>
      <c r="L136" s="3"/>
    </row>
    <row r="137" spans="1:12" ht="20" customHeight="1">
      <c r="A137" s="2"/>
      <c r="B137" s="2"/>
      <c r="C137" s="2"/>
      <c r="D137" s="2"/>
      <c r="E137" s="3"/>
      <c r="F137" s="4"/>
      <c r="G137" s="5" t="s">
        <v>453</v>
      </c>
      <c r="H137" s="4">
        <v>1</v>
      </c>
      <c r="I137" s="2" t="s">
        <v>454</v>
      </c>
      <c r="J137" s="4" t="s">
        <v>455</v>
      </c>
      <c r="K137" s="3" t="str">
        <f>HYPERLINK("https://www.google.com/maps/reviews/data=!4m8!14m7!1m6!2m5!1sChZDSUhNMG9nS0VJQ0FnSUNJazZ2UGJBEAE!2m1!1s0x0:0xc649abebe4579bc0!3m1!1s2@1:CIHM0ogKEICAgICIk6vPbA%7C%7C?hl=en", "View Link")</f>
        <v>View Link</v>
      </c>
      <c r="L137" s="3"/>
    </row>
    <row r="138" spans="1:12" ht="20" customHeight="1">
      <c r="A138" s="2"/>
      <c r="B138" s="2"/>
      <c r="C138" s="2"/>
      <c r="D138" s="2"/>
      <c r="E138" s="3"/>
      <c r="F138" s="4"/>
      <c r="G138" s="5" t="s">
        <v>456</v>
      </c>
      <c r="H138" s="4">
        <v>1</v>
      </c>
      <c r="I138" s="2" t="s">
        <v>457</v>
      </c>
      <c r="J138" s="4" t="s">
        <v>458</v>
      </c>
      <c r="K138" s="3" t="str">
        <f>HYPERLINK("https://www.google.com/maps/reviews/data=!4m8!14m7!1m6!2m5!1sChZDSUhNMG9nS0VJQ0FnSUNLeGR1ZURBEAE!2m1!1s0x0:0xc649abebe4579bc0!3m1!1s2@1:CIHM0ogKEICAgICKxdueDA%7C%7C?hl=en", "View Link")</f>
        <v>View Link</v>
      </c>
      <c r="L138" s="3"/>
    </row>
    <row r="139" spans="1:12" ht="20" customHeight="1">
      <c r="A139" s="2"/>
      <c r="B139" s="2"/>
      <c r="C139" s="2"/>
      <c r="D139" s="2"/>
      <c r="E139" s="3"/>
      <c r="F139" s="4"/>
      <c r="G139" s="5" t="s">
        <v>459</v>
      </c>
      <c r="H139" s="4">
        <v>1</v>
      </c>
      <c r="I139" s="2" t="s">
        <v>460</v>
      </c>
      <c r="J139" s="4" t="s">
        <v>461</v>
      </c>
      <c r="K139" s="3" t="str">
        <f>HYPERLINK("https://www.google.com/maps/reviews/data=!4m8!14m7!1m6!2m5!1sChZDSUhNMG9nS0VJQ0FnSURHaEwzMVNBEAE!2m1!1s0x0:0xc649abebe4579bc0!3m1!1s2@1:CIHM0ogKEICAgIDGhL31SA%7C%7C?hl=en", "View Link")</f>
        <v>View Link</v>
      </c>
      <c r="L139" s="3"/>
    </row>
    <row r="140" spans="1:12" ht="20" customHeight="1">
      <c r="A140" s="2"/>
      <c r="B140" s="2"/>
      <c r="C140" s="2"/>
      <c r="D140" s="2"/>
      <c r="E140" s="3"/>
      <c r="F140" s="4"/>
      <c r="G140" s="5" t="s">
        <v>462</v>
      </c>
      <c r="H140" s="4">
        <v>1</v>
      </c>
      <c r="I140" s="2" t="s">
        <v>463</v>
      </c>
      <c r="J140" s="4" t="s">
        <v>464</v>
      </c>
      <c r="K140" s="3" t="str">
        <f>HYPERLINK("https://www.google.com/maps/reviews/data=!4m8!14m7!1m6!2m5!1sChZDSUhNMG9nS0VJQ0FnSUNzMHBIT0d3EAE!2m1!1s0x0:0xc649abebe4579bc0!3m1!1s2@1:CIHM0ogKEICAgICs0pHOGw%7C%7C?hl=en", "View Link")</f>
        <v>View Link</v>
      </c>
      <c r="L140" s="3"/>
    </row>
    <row r="141" spans="1:12" ht="20" customHeight="1">
      <c r="A141" s="2"/>
      <c r="B141" s="2"/>
      <c r="C141" s="2"/>
      <c r="D141" s="2"/>
      <c r="E141" s="3"/>
      <c r="F141" s="4"/>
      <c r="G141" s="5" t="s">
        <v>465</v>
      </c>
      <c r="H141" s="4">
        <v>1</v>
      </c>
      <c r="I141" s="2" t="s">
        <v>466</v>
      </c>
      <c r="J141" s="4" t="s">
        <v>467</v>
      </c>
      <c r="K141" s="3" t="str">
        <f>HYPERLINK("https://www.google.com/maps/reviews/data=!4m8!14m7!1m6!2m5!1sChZDSUhNMG9nS0VJQ0FnSUNsMmRDY0p3EAE!2m1!1s0x0:0xc649abebe4579bc0!3m1!1s2@1:CIHM0ogKEICAgICl2dCcJw%7C%7C?hl=en", "View Link")</f>
        <v>View Link</v>
      </c>
      <c r="L141" s="3"/>
    </row>
    <row r="142" spans="1:12" ht="20" customHeight="1">
      <c r="A142" s="2"/>
      <c r="B142" s="2"/>
      <c r="C142" s="2"/>
      <c r="D142" s="2"/>
      <c r="E142" s="3"/>
      <c r="F142" s="4"/>
      <c r="G142" s="5" t="s">
        <v>468</v>
      </c>
      <c r="H142" s="4">
        <v>1</v>
      </c>
      <c r="I142" s="2" t="s">
        <v>469</v>
      </c>
      <c r="J142" s="4" t="s">
        <v>470</v>
      </c>
      <c r="K142" s="3" t="str">
        <f>HYPERLINK("https://www.google.com/maps/reviews/data=!4m8!14m7!1m6!2m5!1sChdDSUhNMG9nS0VJQ0FnSUNzMkl5anpnRRAB!2m1!1s0x0:0xc649abebe4579bc0!3m1!1s2@1:CIHM0ogKEICAgICs2IyjzgE%7C%7C?hl=en", "View Link")</f>
        <v>View Link</v>
      </c>
      <c r="L142" s="3"/>
    </row>
    <row r="143" spans="1:12" ht="20" customHeight="1">
      <c r="A143" s="2"/>
      <c r="B143" s="2"/>
      <c r="C143" s="2"/>
      <c r="D143" s="2"/>
      <c r="E143" s="3"/>
      <c r="F143" s="4"/>
      <c r="G143" s="5" t="s">
        <v>471</v>
      </c>
      <c r="H143" s="4">
        <v>1</v>
      </c>
      <c r="I143" s="2" t="s">
        <v>472</v>
      </c>
      <c r="J143" s="4" t="s">
        <v>473</v>
      </c>
      <c r="K143" s="3" t="str">
        <f>HYPERLINK("https://www.google.com/maps/reviews/data=!4m8!14m7!1m6!2m5!1sChZDSUhNMG9nS0VJQ0FnTUNBNU9MNkJ3EAE!2m1!1s0x0:0xc649abebe4579bc0!3m1!1s2@1:CIHM0ogKEICAgMCA5OL6Bw%7C%7C?hl=en", "View Link")</f>
        <v>View Link</v>
      </c>
      <c r="L143" s="3"/>
    </row>
    <row r="144" spans="1:12" ht="20" customHeight="1">
      <c r="A144" s="2"/>
      <c r="B144" s="2"/>
      <c r="C144" s="2"/>
      <c r="D144" s="2"/>
      <c r="E144" s="3"/>
      <c r="F144" s="4"/>
      <c r="G144" s="5" t="s">
        <v>474</v>
      </c>
      <c r="H144" s="4">
        <v>1</v>
      </c>
      <c r="I144" s="2" t="s">
        <v>475</v>
      </c>
      <c r="J144" s="4" t="s">
        <v>476</v>
      </c>
      <c r="K144" s="3" t="str">
        <f>HYPERLINK("https://www.google.com/maps/reviews/data=!4m8!14m7!1m6!2m5!1sChZDSUhNMG9nS0VJQ0FnSUM2a2NTOEF3EAE!2m1!1s0x0:0xc649abebe4579bc0!3m1!1s2@1:CIHM0ogKEICAgIC6kcS8Aw%7C%7C?hl=en", "View Link")</f>
        <v>View Link</v>
      </c>
      <c r="L144" s="3"/>
    </row>
    <row r="145" spans="1:12" ht="20" customHeight="1">
      <c r="A145" s="2"/>
      <c r="B145" s="2"/>
      <c r="C145" s="2"/>
      <c r="D145" s="2"/>
      <c r="E145" s="3"/>
      <c r="F145" s="4"/>
      <c r="G145" s="5" t="s">
        <v>477</v>
      </c>
      <c r="H145" s="4">
        <v>1</v>
      </c>
      <c r="I145" s="2" t="s">
        <v>478</v>
      </c>
      <c r="J145" s="4" t="s">
        <v>479</v>
      </c>
      <c r="K145" s="3" t="str">
        <f>HYPERLINK("https://www.google.com/maps/reviews/data=!4m8!14m7!1m6!2m5!1sChZDSUhNMG9nS0VJQ0FnSURvMi1QU1lREAE!2m1!1s0x0:0xc649abebe4579bc0!3m1!1s2@1:CIHM0ogKEICAgIDo2-PSYQ%7C%7C?hl=en", "View Link")</f>
        <v>View Link</v>
      </c>
      <c r="L145" s="3"/>
    </row>
    <row r="146" spans="1:12" ht="20" customHeight="1">
      <c r="A146" s="2"/>
      <c r="B146" s="2"/>
      <c r="C146" s="2"/>
      <c r="D146" s="2"/>
      <c r="E146" s="3"/>
      <c r="F146" s="4"/>
      <c r="G146" s="5" t="s">
        <v>480</v>
      </c>
      <c r="H146" s="4">
        <v>1</v>
      </c>
      <c r="I146" s="2" t="s">
        <v>481</v>
      </c>
      <c r="J146" s="4" t="s">
        <v>482</v>
      </c>
      <c r="K146" s="3" t="str">
        <f>HYPERLINK("https://www.google.com/maps/reviews/data=!4m8!14m7!1m6!2m5!1sChZDSUhNMG9nS0VJQ0FnSUM0bWVlS2FREAE!2m1!1s0x0:0xc649abebe4579bc0!3m1!1s2@1:CIHM0ogKEICAgIC4meeKaQ%7C%7C?hl=en", "View Link")</f>
        <v>View Link</v>
      </c>
      <c r="L146" s="3"/>
    </row>
    <row r="147" spans="1:12" ht="20" customHeight="1">
      <c r="A147" s="2" t="s">
        <v>483</v>
      </c>
      <c r="B147" s="2" t="s">
        <v>484</v>
      </c>
      <c r="C147" s="2" t="s">
        <v>485</v>
      </c>
      <c r="D147" s="2" t="s">
        <v>486</v>
      </c>
      <c r="E147" s="3">
        <f>HYPERLINK("http://www.aptimacentreclinic.com/", "Visit Website")</f>
        <v>0</v>
      </c>
      <c r="F147" s="4">
        <v>3.7</v>
      </c>
      <c r="G147" s="5" t="s">
        <v>487</v>
      </c>
      <c r="H147" s="4">
        <v>1</v>
      </c>
      <c r="I147" s="2" t="s">
        <v>488</v>
      </c>
      <c r="J147" s="4" t="s">
        <v>489</v>
      </c>
      <c r="K147" s="3" t="str">
        <f>HYPERLINK("https://www.google.com/maps/reviews/data=!4m8!14m7!1m6!2m5!1sCi9DQUlRQUNvZENodHljRjlvT21GRlZVaE9jbWw2T1VGU09FMVFOM010WkVwSU4zYxAB!2m1!1s0x0:0x2eff83a3ebb8d5e!3m1!1s2@1:CAIQACodChtycF9oOmFFVUhOcml6OUFSOE1QN3MtZEpIN3c%7C%7C?hl=en", "View Link")</f>
        <v>View Link</v>
      </c>
      <c r="L147" s="3">
        <f>HYPERLINK("https://www.google.com/maps/search/?api=1&amp;query=%C3%80ptima%20Centre%20Cl%C3%ADnic&amp;query_place_id=ChIJ4RM5FVuWZ0ARXo27Pjr47wI", "Open Map")</f>
        <v>0</v>
      </c>
    </row>
    <row r="148" spans="1:12" ht="20" customHeight="1">
      <c r="A148" s="2"/>
      <c r="B148" s="2"/>
      <c r="C148" s="2"/>
      <c r="D148" s="2"/>
      <c r="E148" s="3"/>
      <c r="F148" s="4"/>
      <c r="G148" s="5" t="s">
        <v>490</v>
      </c>
      <c r="H148" s="4">
        <v>1</v>
      </c>
      <c r="I148" s="2" t="s">
        <v>491</v>
      </c>
      <c r="J148" s="4" t="s">
        <v>492</v>
      </c>
      <c r="K148" s="3" t="str">
        <f>HYPERLINK("https://www.google.com/maps/reviews/data=!4m8!14m7!1m6!2m5!1sChdDSUhNMG9nS0VJQ0FnSUQ2eDRfOXZBRRAB!2m1!1s0x0:0x2eff83a3ebb8d5e!3m1!1s2@1:CIHM0ogKEICAgID6x4_9vAE%7C%7C?hl=en", "View Link")</f>
        <v>View Link</v>
      </c>
      <c r="L148" s="3"/>
    </row>
    <row r="149" spans="1:12" ht="20" customHeight="1">
      <c r="A149" s="2"/>
      <c r="B149" s="2"/>
      <c r="C149" s="2"/>
      <c r="D149" s="2"/>
      <c r="E149" s="3"/>
      <c r="F149" s="4"/>
      <c r="G149" s="5" t="s">
        <v>493</v>
      </c>
      <c r="H149" s="4">
        <v>1</v>
      </c>
      <c r="I149" s="2" t="s">
        <v>494</v>
      </c>
      <c r="J149" s="4" t="s">
        <v>495</v>
      </c>
      <c r="K149" s="3" t="str">
        <f>HYPERLINK("https://www.google.com/maps/reviews/data=!4m8!14m7!1m6!2m5!1sCi9DQUlRQUNvZENodHljRjlvT21GM05VTkpkbEZXVVVJMllYaEZhRTlHUTFOTGExRRAB!2m1!1s0x0:0x2eff83a3ebb8d5e!3m1!1s2@1:CAIQACodChtycF9oOmF3NUNJdlFWUUI2YXhFaE9GQ1NLa1E%7C%7C?hl=en", "View Link")</f>
        <v>View Link</v>
      </c>
      <c r="L149" s="3"/>
    </row>
    <row r="150" spans="1:12" ht="20" customHeight="1">
      <c r="A150" s="2"/>
      <c r="B150" s="2"/>
      <c r="C150" s="2"/>
      <c r="D150" s="2"/>
      <c r="E150" s="3"/>
      <c r="F150" s="4"/>
      <c r="G150" s="5" t="s">
        <v>496</v>
      </c>
      <c r="H150" s="4">
        <v>1</v>
      </c>
      <c r="I150" s="2" t="s">
        <v>497</v>
      </c>
      <c r="J150" s="4" t="s">
        <v>498</v>
      </c>
      <c r="K150" s="3" t="str">
        <f>HYPERLINK("https://www.google.com/maps/reviews/data=!4m8!14m7!1m6!2m5!1sCi9DQUlRQUNvZENodHljRjlvT2w5aVVrcDBlSEpsUjFoWWVVSkJOa0pYYkRsbWMwRRAB!2m1!1s0x0:0x2eff83a3ebb8d5e!3m1!1s2@1:CAIQACodChtycF9oOl9iUkp0eHJlR1hYeUJBNkJXbDlmc0E%7C%7C?hl=en", "View Link")</f>
        <v>View Link</v>
      </c>
      <c r="L150" s="3"/>
    </row>
    <row r="151" spans="1:12" ht="20" customHeight="1">
      <c r="A151" s="2"/>
      <c r="B151" s="2"/>
      <c r="C151" s="2"/>
      <c r="D151" s="2"/>
      <c r="E151" s="3"/>
      <c r="F151" s="4"/>
      <c r="G151" s="5" t="s">
        <v>499</v>
      </c>
      <c r="H151" s="4">
        <v>1</v>
      </c>
      <c r="I151" s="2" t="s">
        <v>500</v>
      </c>
      <c r="J151" s="4" t="s">
        <v>501</v>
      </c>
      <c r="K151" s="3" t="str">
        <f>HYPERLINK("https://www.google.com/maps/reviews/data=!4m8!14m7!1m6!2m5!1sCi9DQUlRQUNvZENodHljRjlvT25oak1XODJWM1owVlVsSVFpMW5kVU4yYWxkRWFVRRAB!2m1!1s0x0:0x2eff83a3ebb8d5e!3m1!1s2@1:CAIQACodChtycF9oOnhjMW82V3Z0VUlIQi1ndUN2aldEaUE%7C%7C?hl=en", "View Link")</f>
        <v>View Link</v>
      </c>
      <c r="L151" s="3"/>
    </row>
    <row r="152" spans="1:12" ht="20" customHeight="1">
      <c r="A152" s="2"/>
      <c r="B152" s="2"/>
      <c r="C152" s="2"/>
      <c r="D152" s="2"/>
      <c r="E152" s="3"/>
      <c r="F152" s="4"/>
      <c r="G152" s="5" t="s">
        <v>502</v>
      </c>
      <c r="H152" s="4">
        <v>1</v>
      </c>
      <c r="I152" s="2" t="s">
        <v>503</v>
      </c>
      <c r="J152" s="4" t="s">
        <v>504</v>
      </c>
      <c r="K152" s="3" t="str">
        <f>HYPERLINK("https://www.google.com/maps/reviews/data=!4m8!14m7!1m6!2m5!1sCi9DQUlRQUNvZENodHljRjlvT2tWbmQxRlFTak5XTTJwNlJWZFlkVmxMUlhaemVsRRAB!2m1!1s0x0:0x2eff83a3ebb8d5e!3m1!1s2@1:CAIQACodChtycF9oOkVnd1FQSjNWM2p6RVdYdVlLRXZzelE%7C%7C?hl=en", "View Link")</f>
        <v>View Link</v>
      </c>
      <c r="L152" s="3"/>
    </row>
    <row r="153" spans="1:12" ht="20" customHeight="1">
      <c r="A153" s="2"/>
      <c r="B153" s="2"/>
      <c r="C153" s="2"/>
      <c r="D153" s="2"/>
      <c r="E153" s="3"/>
      <c r="F153" s="4"/>
      <c r="G153" s="5" t="s">
        <v>505</v>
      </c>
      <c r="H153" s="4">
        <v>1</v>
      </c>
      <c r="I153" s="2" t="s">
        <v>506</v>
      </c>
      <c r="J153" s="4" t="s">
        <v>507</v>
      </c>
      <c r="K153" s="3" t="str">
        <f>HYPERLINK("https://www.google.com/maps/reviews/data=!4m8!14m7!1m6!2m5!1sCi9DQUlRQUNvZENodHljRjlvT2pKSFMzaEVPVVJxTVVNdE9WcFZUR1pqYVZoVGRsRRAB!2m1!1s0x0:0x2eff83a3ebb8d5e!3m1!1s2@1:CAIQACodChtycF9oOjJHS3hEOURqMUMtOVpVTGZjaVhTdlE%7C%7C?hl=en", "View Link")</f>
        <v>View Link</v>
      </c>
      <c r="L153" s="3"/>
    </row>
    <row r="154" spans="1:12" ht="20" customHeight="1">
      <c r="A154" s="2"/>
      <c r="B154" s="2"/>
      <c r="C154" s="2"/>
      <c r="D154" s="2"/>
      <c r="E154" s="3"/>
      <c r="F154" s="4"/>
      <c r="G154" s="5" t="s">
        <v>508</v>
      </c>
      <c r="H154" s="4">
        <v>1</v>
      </c>
      <c r="I154" s="2" t="s">
        <v>509</v>
      </c>
      <c r="J154" s="4" t="s">
        <v>510</v>
      </c>
      <c r="K154" s="3" t="str">
        <f>HYPERLINK("https://www.google.com/maps/reviews/data=!4m8!14m7!1m6!2m5!1sCi9DQUlRQUNvZENodHljRjlvT2w5T1ZuaEpNblJ5VERkTU1FOVFTbmhGZW5GMGFVRRAB!2m1!1s0x0:0x2eff83a3ebb8d5e!3m1!1s2@1:CAIQACodChtycF9oOl9OVnhJMnRyTDdMME9QSnhFenF0aUE%7C%7C?hl=en", "View Link")</f>
        <v>View Link</v>
      </c>
      <c r="L154" s="3"/>
    </row>
    <row r="155" spans="1:12" ht="20" customHeight="1">
      <c r="A155" s="2"/>
      <c r="B155" s="2"/>
      <c r="C155" s="2"/>
      <c r="D155" s="2"/>
      <c r="E155" s="3"/>
      <c r="F155" s="4"/>
      <c r="G155" s="5" t="s">
        <v>511</v>
      </c>
      <c r="H155" s="4">
        <v>1</v>
      </c>
      <c r="I155" s="2" t="s">
        <v>512</v>
      </c>
      <c r="J155" s="4" t="s">
        <v>513</v>
      </c>
      <c r="K155" s="3" t="str">
        <f>HYPERLINK("https://www.google.com/maps/reviews/data=!4m8!14m7!1m6!2m5!1sCi9DQUlRQUNvZENodHljRjlvT25obk5sRkJWVXRuV21wMU9GbzRjbEJuTkRGclkyYxAB!2m1!1s0x0:0x2eff83a3ebb8d5e!3m1!1s2@1:CAIQACodChtycF9oOnhnNlFBVUtnWmp1OFo4clBnNDFrY2c%7C%7C?hl=en", "View Link")</f>
        <v>View Link</v>
      </c>
      <c r="L155" s="3"/>
    </row>
    <row r="156" spans="1:12" ht="20" customHeight="1">
      <c r="A156" s="2"/>
      <c r="B156" s="2"/>
      <c r="C156" s="2"/>
      <c r="D156" s="2"/>
      <c r="E156" s="3"/>
      <c r="F156" s="4"/>
      <c r="G156" s="5" t="s">
        <v>514</v>
      </c>
      <c r="H156" s="4">
        <v>1</v>
      </c>
      <c r="I156" s="2" t="s">
        <v>515</v>
      </c>
      <c r="J156" s="4" t="s">
        <v>516</v>
      </c>
      <c r="K156" s="3" t="str">
        <f>HYPERLINK("https://www.google.com/maps/reviews/data=!4m8!14m7!1m6!2m5!1sCi9DQUlRQUNvZENodHljRjlvT2pWdlkyUnNWM0JwWmpacE5YWnhiMWRZYVZSVGJVRRAB!2m1!1s0x0:0x2eff83a3ebb8d5e!3m1!1s2@1:CAIQACodChtycF9oOjVvY2RsV3BpZjZpNXZxb1dYaVRTbUE%7C%7C?hl=en", "View Link")</f>
        <v>View Link</v>
      </c>
      <c r="L156" s="3"/>
    </row>
    <row r="157" spans="1:12" ht="20" customHeight="1">
      <c r="A157" s="2"/>
      <c r="B157" s="2"/>
      <c r="C157" s="2"/>
      <c r="D157" s="2"/>
      <c r="E157" s="3"/>
      <c r="F157" s="4"/>
      <c r="G157" s="5" t="s">
        <v>517</v>
      </c>
      <c r="H157" s="4">
        <v>1</v>
      </c>
      <c r="I157" s="2" t="s">
        <v>518</v>
      </c>
      <c r="J157" s="4" t="s">
        <v>519</v>
      </c>
      <c r="K157" s="3" t="str">
        <f>HYPERLINK("https://www.google.com/maps/reviews/data=!4m8!14m7!1m6!2m5!1sCi9DQUlRQUNvZENodHljRjlvT2tkNGMzb3ljbTVpVVY4d1dHNDFjblJUY0hCcmQzYxAB!2m1!1s0x0:0x2eff83a3ebb8d5e!3m1!1s2@1:CAIQACodChtycF9oOkd4c3oycm5iUV8wWG41cnRTcHBrd3c%7C%7C?hl=en", "View Link")</f>
        <v>View Link</v>
      </c>
      <c r="L157" s="3"/>
    </row>
    <row r="158" spans="1:12" ht="20" customHeight="1">
      <c r="A158" s="2"/>
      <c r="B158" s="2"/>
      <c r="C158" s="2"/>
      <c r="D158" s="2"/>
      <c r="E158" s="3"/>
      <c r="F158" s="4"/>
      <c r="G158" s="5" t="s">
        <v>520</v>
      </c>
      <c r="H158" s="4">
        <v>1</v>
      </c>
      <c r="I158" s="2" t="s">
        <v>521</v>
      </c>
      <c r="J158" s="4" t="s">
        <v>522</v>
      </c>
      <c r="K158" s="3" t="str">
        <f>HYPERLINK("https://www.google.com/maps/reviews/data=!4m8!14m7!1m6!2m5!1sCi9DQUlRQUNvZENodHljRjlvT21KaVFrTk1aa1JZWVdoUWVVRlVPSEUwU0hKQ1JIYxAB!2m1!1s0x0:0x2eff83a3ebb8d5e!3m1!1s2@1:CAIQACodChtycF9oOmJiQkNMZkRYYWhQeUFUOHE0SHJCRHc%7C%7C?hl=en", "View Link")</f>
        <v>View Link</v>
      </c>
      <c r="L158" s="3"/>
    </row>
    <row r="159" spans="1:12" ht="20" customHeight="1">
      <c r="A159" s="2"/>
      <c r="B159" s="2"/>
      <c r="C159" s="2"/>
      <c r="D159" s="2"/>
      <c r="E159" s="3"/>
      <c r="F159" s="4"/>
      <c r="G159" s="5" t="s">
        <v>523</v>
      </c>
      <c r="H159" s="4">
        <v>1</v>
      </c>
      <c r="I159" s="2" t="s">
        <v>524</v>
      </c>
      <c r="J159" s="4" t="s">
        <v>525</v>
      </c>
      <c r="K159" s="3" t="str">
        <f>HYPERLINK("https://www.google.com/maps/reviews/data=!4m8!14m7!1m6!2m5!1sCi9DQUlRQUNvZENodHljRjlvT25Vd1ZsZHJkRFJZU213eGRuTlhTakJxY3pWVGFuYxAB!2m1!1s0x0:0x2eff83a3ebb8d5e!3m1!1s2@1:CAIQACodChtycF9oOnUwVldrdDRYSmwxdnNXSjBqczVTanc%7C%7C?hl=en", "View Link")</f>
        <v>View Link</v>
      </c>
      <c r="L159" s="3"/>
    </row>
    <row r="160" spans="1:12" ht="20" customHeight="1">
      <c r="A160" s="2"/>
      <c r="B160" s="2"/>
      <c r="C160" s="2"/>
      <c r="D160" s="2"/>
      <c r="E160" s="3"/>
      <c r="F160" s="4"/>
      <c r="G160" s="5" t="s">
        <v>526</v>
      </c>
      <c r="H160" s="4">
        <v>1</v>
      </c>
      <c r="I160" s="2" t="s">
        <v>527</v>
      </c>
      <c r="J160" s="4" t="s">
        <v>528</v>
      </c>
      <c r="K160" s="3" t="str">
        <f>HYPERLINK("https://www.google.com/maps/reviews/data=!4m8!14m7!1m6!2m5!1sCi9DQUlRQUNvZENodHljRjlvT2pWc1NHSlRjek5ZUVZkT1RHSmtXamc1YTFvMWVsRRAB!2m1!1s0x0:0x2eff83a3ebb8d5e!3m1!1s2@1:CAIQACodChtycF9oOjVsSGJTczNYQVdOTGJkWjg5a1o1elE%7C%7C?hl=en", "View Link")</f>
        <v>View Link</v>
      </c>
      <c r="L160" s="3"/>
    </row>
    <row r="161" spans="1:12" ht="20" customHeight="1">
      <c r="A161" s="2"/>
      <c r="B161" s="2"/>
      <c r="C161" s="2"/>
      <c r="D161" s="2"/>
      <c r="E161" s="3"/>
      <c r="F161" s="4"/>
      <c r="G161" s="5" t="s">
        <v>529</v>
      </c>
      <c r="H161" s="4">
        <v>1</v>
      </c>
      <c r="I161" s="2" t="s">
        <v>530</v>
      </c>
      <c r="J161" s="4" t="s">
        <v>531</v>
      </c>
      <c r="K161" s="3" t="str">
        <f>HYPERLINK("https://www.google.com/maps/reviews/data=!4m8!14m7!1m6!2m5!1sCi9DQUlRQUNvZENodHljRjlvT25GS05HTjBhbUpZYjBGbVowNTVjMU5tVlZkSlkzYxAB!2m1!1s0x0:0x2eff83a3ebb8d5e!3m1!1s2@1:CAIQACodChtycF9oOnFKNGN0amJYb0FmZ055c1NmVVdJY3c%7C%7C?hl=en", "View Link")</f>
        <v>View Link</v>
      </c>
      <c r="L161" s="3"/>
    </row>
    <row r="162" spans="1:12" ht="20" customHeight="1">
      <c r="A162" s="2"/>
      <c r="B162" s="2"/>
      <c r="C162" s="2"/>
      <c r="D162" s="2"/>
      <c r="E162" s="3"/>
      <c r="F162" s="4"/>
      <c r="G162" s="5" t="s">
        <v>532</v>
      </c>
      <c r="H162" s="4">
        <v>1</v>
      </c>
      <c r="I162" s="2" t="s">
        <v>533</v>
      </c>
      <c r="J162" s="4" t="s">
        <v>534</v>
      </c>
      <c r="K162" s="3" t="str">
        <f>HYPERLINK("https://www.google.com/maps/reviews/data=!4m8!14m7!1m6!2m5!1sCi9DQUlRQUNvZENodHljRjlvT2xwdlJtbE5iVVpqZDA5WGRHZ3piRTh0V1c5MWQwRRAB!2m1!1s0x0:0x2eff83a3ebb8d5e!3m1!1s2@1:CAIQACodChtycF9oOlpvRmlNbUZjd09XdGgzbE8tWW91d0E%7C%7C?hl=en", "View Link")</f>
        <v>View Link</v>
      </c>
      <c r="L162" s="3"/>
    </row>
    <row r="163" spans="1:12" ht="20" customHeight="1">
      <c r="A163" s="2"/>
      <c r="B163" s="2"/>
      <c r="C163" s="2"/>
      <c r="D163" s="2"/>
      <c r="E163" s="3"/>
      <c r="F163" s="4"/>
      <c r="G163" s="5" t="s">
        <v>535</v>
      </c>
      <c r="H163" s="4">
        <v>1</v>
      </c>
      <c r="I163" s="2" t="s">
        <v>536</v>
      </c>
      <c r="J163" s="4" t="s">
        <v>537</v>
      </c>
      <c r="K163" s="3" t="str">
        <f>HYPERLINK("https://www.google.com/maps/reviews/data=!4m8!14m7!1m6!2m5!1sCi9DQUlRQUNvZENodHljRjlvT21SUFh6VmtkRUZoZFZWaFJGUTJiblZSTWxKTmFVRRAB!2m1!1s0x0:0x2eff83a3ebb8d5e!3m1!1s2@1:CAIQACodChtycF9oOmRPXzVkdEFhdVVhRFQ2bnVRMlJNaUE%7C%7C?hl=en", "View Link")</f>
        <v>View Link</v>
      </c>
      <c r="L163" s="3"/>
    </row>
    <row r="164" spans="1:12" ht="20" customHeight="1">
      <c r="A164" s="2"/>
      <c r="B164" s="2"/>
      <c r="C164" s="2"/>
      <c r="D164" s="2"/>
      <c r="E164" s="3"/>
      <c r="F164" s="4"/>
      <c r="G164" s="5" t="s">
        <v>538</v>
      </c>
      <c r="H164" s="4">
        <v>1</v>
      </c>
      <c r="I164" s="2" t="s">
        <v>539</v>
      </c>
      <c r="J164" s="4" t="s">
        <v>540</v>
      </c>
      <c r="K164" s="3" t="str">
        <f>HYPERLINK("https://www.google.com/maps/reviews/data=!4m8!14m7!1m6!2m5!1sCi9DQUlRQUNvZENodHljRjlvT2s4emFISnFPVlJCYzFwaFZURktkRzFSY2kwelpsRRAB!2m1!1s0x0:0x2eff83a3ebb8d5e!3m1!1s2@1:CAIQACodChtycF9oOk8zaHJqOVRBc1phVTFKdG1Rci0zZlE%7C%7C?hl=en", "View Link")</f>
        <v>View Link</v>
      </c>
      <c r="L164" s="3"/>
    </row>
    <row r="165" spans="1:12" ht="20" customHeight="1">
      <c r="A165" s="2"/>
      <c r="B165" s="2"/>
      <c r="C165" s="2"/>
      <c r="D165" s="2"/>
      <c r="E165" s="3"/>
      <c r="F165" s="4"/>
      <c r="G165" s="5" t="s">
        <v>541</v>
      </c>
      <c r="H165" s="4">
        <v>1</v>
      </c>
      <c r="I165" s="2" t="s">
        <v>542</v>
      </c>
      <c r="J165" s="4" t="s">
        <v>543</v>
      </c>
      <c r="K165" s="3" t="str">
        <f>HYPERLINK("https://www.google.com/maps/reviews/data=!4m8!14m7!1m6!2m5!1sCi9DQUlRQUNvZENodHljRjlvT2pKMGNURk9NbkJPVDIxdVVFNWpZUzFuTUcxVE1uYxAB!2m1!1s0x0:0x2eff83a3ebb8d5e!3m1!1s2@1:CAIQACodChtycF9oOjJ0cTFOMnBOT21uUE5jYS1nMG1TMnc%7C%7C?hl=en", "View Link")</f>
        <v>View Link</v>
      </c>
      <c r="L165" s="3"/>
    </row>
    <row r="166" spans="1:12" ht="20" customHeight="1">
      <c r="A166" s="2"/>
      <c r="B166" s="2"/>
      <c r="C166" s="2"/>
      <c r="D166" s="2"/>
      <c r="E166" s="3"/>
      <c r="F166" s="4"/>
      <c r="G166" s="5" t="s">
        <v>544</v>
      </c>
      <c r="H166" s="4">
        <v>1</v>
      </c>
      <c r="I166" s="2" t="s">
        <v>545</v>
      </c>
      <c r="J166" s="4" t="s">
        <v>546</v>
      </c>
      <c r="K166" s="3" t="str">
        <f>HYPERLINK("https://www.google.com/maps/reviews/data=!4m8!14m7!1m6!2m5!1sCi9DQUlRQUNvZENodHljRjlvT21kblRGcEVla0ptT0Y5M1FVaE1MVTVaT1VNNFEyYxAB!2m1!1s0x0:0x2eff83a3ebb8d5e!3m1!1s2@1:CAIQACodChtycF9oOmdnTFpEekJmOF93QUhMLU5ZOUM4Q2c%7C%7C?hl=en", "View Link")</f>
        <v>View Link</v>
      </c>
      <c r="L166" s="3"/>
    </row>
    <row r="167" spans="1:12" ht="20" customHeight="1">
      <c r="A167" s="2" t="s">
        <v>547</v>
      </c>
      <c r="B167" s="2" t="s">
        <v>548</v>
      </c>
      <c r="C167" s="2" t="s">
        <v>549</v>
      </c>
      <c r="D167" s="2" t="s">
        <v>550</v>
      </c>
      <c r="E167" s="3">
        <f>HYPERLINK("https://dermas.cat/", "Visit Website")</f>
        <v>0</v>
      </c>
      <c r="F167" s="4">
        <v>3.5</v>
      </c>
      <c r="G167" s="5" t="s">
        <v>551</v>
      </c>
      <c r="H167" s="4">
        <v>1</v>
      </c>
      <c r="I167" s="2" t="s">
        <v>552</v>
      </c>
      <c r="J167" s="4" t="s">
        <v>553</v>
      </c>
      <c r="K167" s="3" t="str">
        <f>HYPERLINK("https://www.google.com/maps/reviews/data=!4m8!14m7!1m6!2m5!1sCi9DQUlRQUNvZENodHljRjlvT25FeVNqWjBUSEJhTkRCNFJHWmpOMU4yTkhwTmNYYxAB!2m1!1s0x0:0xf0cc56af77ac5210!3m1!1s2@1:CAIQACodChtycF9oOnEySjZ0THBaNDB4RGZjN1N2NHpNcXc%7C%7C?hl=en", "View Link")</f>
        <v>View Link</v>
      </c>
      <c r="L167" s="3">
        <f>HYPERLINK("https://www.google.com/maps/search/?api=1&amp;query=Cl%C3%ADnica%20Dermatol%C3%B2gica%20Dermas&amp;query_place_id=ChIJCZwi55KipBIREFKsd69WzPA", "Open Map")</f>
        <v>0</v>
      </c>
    </row>
    <row r="168" spans="1:12" ht="20" customHeight="1">
      <c r="A168" s="2"/>
      <c r="B168" s="2"/>
      <c r="C168" s="2"/>
      <c r="D168" s="2"/>
      <c r="E168" s="3"/>
      <c r="F168" s="4"/>
      <c r="G168" s="5" t="s">
        <v>554</v>
      </c>
      <c r="H168" s="4">
        <v>1</v>
      </c>
      <c r="I168" s="2" t="s">
        <v>555</v>
      </c>
      <c r="J168" s="4" t="s">
        <v>556</v>
      </c>
      <c r="K168" s="3" t="str">
        <f>HYPERLINK("https://www.google.com/maps/reviews/data=!4m8!14m7!1m6!2m5!1sCi9DQUlRQUNvZENodHljRjlvT2pKS05ubzJZa1JwYlVabGRXVnZiamRSZUdkR2VVRRAB!2m1!1s0x0:0xf0cc56af77ac5210!3m1!1s2@1:CAIQACodChtycF9oOjJKNno2YkRpbUZldWVvbjdReGdGeUE%7C%7C?hl=en", "View Link")</f>
        <v>View Link</v>
      </c>
      <c r="L168" s="3"/>
    </row>
    <row r="169" spans="1:12" ht="20" customHeight="1">
      <c r="A169" s="2"/>
      <c r="B169" s="2"/>
      <c r="C169" s="2"/>
      <c r="D169" s="2"/>
      <c r="E169" s="3"/>
      <c r="F169" s="4"/>
      <c r="G169" s="5" t="s">
        <v>557</v>
      </c>
      <c r="H169" s="4">
        <v>1</v>
      </c>
      <c r="I169" s="2" t="s">
        <v>558</v>
      </c>
      <c r="J169" s="4" t="s">
        <v>559</v>
      </c>
      <c r="K169" s="3" t="str">
        <f>HYPERLINK("https://www.google.com/maps/reviews/data=!4m8!14m7!1m6!2m5!1sChZDSUhNMG9nS0VJQ0FnTUNJbDhQUEh3EAE!2m1!1s0x0:0xf0cc56af77ac5210!3m1!1s2@1:CIHM0ogKEICAgMCIl8PPHw%7C%7C?hl=en", "View Link")</f>
        <v>View Link</v>
      </c>
      <c r="L169" s="3"/>
    </row>
    <row r="170" spans="1:12" ht="20" customHeight="1">
      <c r="A170" s="2"/>
      <c r="B170" s="2"/>
      <c r="C170" s="2"/>
      <c r="D170" s="2"/>
      <c r="E170" s="3"/>
      <c r="F170" s="4"/>
      <c r="G170" s="5" t="s">
        <v>560</v>
      </c>
      <c r="H170" s="4">
        <v>1</v>
      </c>
      <c r="I170" s="2" t="s">
        <v>561</v>
      </c>
      <c r="J170" s="4" t="s">
        <v>562</v>
      </c>
      <c r="K170" s="3" t="str">
        <f>HYPERLINK("https://www.google.com/maps/reviews/data=!4m8!14m7!1m6!2m5!1sChZDSUhNMG9nS0VJQ0FnSUNMdXFUdWJ3EAE!2m1!1s0x0:0xf0cc56af77ac5210!3m1!1s2@1:CIHM0ogKEICAgICLuqTubw%7C%7C?hl=en", "View Link")</f>
        <v>View Link</v>
      </c>
      <c r="L170" s="3"/>
    </row>
    <row r="171" spans="1:12" ht="20" customHeight="1">
      <c r="A171" s="2"/>
      <c r="B171" s="2"/>
      <c r="C171" s="2"/>
      <c r="D171" s="2"/>
      <c r="E171" s="3"/>
      <c r="F171" s="4"/>
      <c r="G171" s="5" t="s">
        <v>563</v>
      </c>
      <c r="H171" s="4">
        <v>1</v>
      </c>
      <c r="I171" s="2" t="s">
        <v>564</v>
      </c>
      <c r="J171" s="4" t="s">
        <v>565</v>
      </c>
      <c r="K171" s="3" t="str">
        <f>HYPERLINK("https://www.google.com/maps/reviews/data=!4m8!14m7!1m6!2m5!1sChdDSUhNMG9nS0VJQ0FnSUR4anJfUTdBRRAB!2m1!1s0x0:0xf0cc56af77ac5210!3m1!1s2@1:CIHM0ogKEICAgIDxjr_Q7AE%7C%7C?hl=en", "View Link")</f>
        <v>View Link</v>
      </c>
      <c r="L171" s="3"/>
    </row>
    <row r="172" spans="1:12" ht="20" customHeight="1">
      <c r="A172" s="2"/>
      <c r="B172" s="2"/>
      <c r="C172" s="2"/>
      <c r="D172" s="2"/>
      <c r="E172" s="3"/>
      <c r="F172" s="4"/>
      <c r="G172" s="5" t="s">
        <v>566</v>
      </c>
      <c r="H172" s="4">
        <v>1</v>
      </c>
      <c r="I172" s="2" t="s">
        <v>567</v>
      </c>
      <c r="J172" s="4" t="s">
        <v>568</v>
      </c>
      <c r="K172" s="3" t="str">
        <f>HYPERLINK("https://www.google.com/maps/reviews/data=!4m8!14m7!1m6!2m5!1sChdDSUhNMG9nS0VJQ0FnSUNMMFl1djZnRRAB!2m1!1s0x0:0xf0cc56af77ac5210!3m1!1s2@1:CIHM0ogKEICAgICL0Yuv6gE%7C%7C?hl=en", "View Link")</f>
        <v>View Link</v>
      </c>
      <c r="L172" s="3"/>
    </row>
    <row r="173" spans="1:12" ht="20" customHeight="1">
      <c r="A173" s="2"/>
      <c r="B173" s="2"/>
      <c r="C173" s="2"/>
      <c r="D173" s="2"/>
      <c r="E173" s="3"/>
      <c r="F173" s="4"/>
      <c r="G173" s="5" t="s">
        <v>569</v>
      </c>
      <c r="H173" s="4">
        <v>1</v>
      </c>
      <c r="I173" s="2" t="s">
        <v>570</v>
      </c>
      <c r="J173" s="4" t="s">
        <v>571</v>
      </c>
      <c r="K173" s="3" t="str">
        <f>HYPERLINK("https://www.google.com/maps/reviews/data=!4m8!14m7!1m6!2m5!1sChdDSUhNMG9nS0VJQ0FnSUQ5dDlhdDl3RRAB!2m1!1s0x0:0xf0cc56af77ac5210!3m1!1s2@1:CIHM0ogKEICAgID9t9at9wE%7C%7C?hl=en", "View Link")</f>
        <v>View Link</v>
      </c>
      <c r="L173" s="3"/>
    </row>
    <row r="174" spans="1:12" ht="20" customHeight="1">
      <c r="A174" s="2"/>
      <c r="B174" s="2"/>
      <c r="C174" s="2"/>
      <c r="D174" s="2"/>
      <c r="E174" s="3"/>
      <c r="F174" s="4"/>
      <c r="G174" s="5" t="s">
        <v>572</v>
      </c>
      <c r="H174" s="4">
        <v>1</v>
      </c>
      <c r="I174" s="2" t="s">
        <v>573</v>
      </c>
      <c r="J174" s="4" t="s">
        <v>574</v>
      </c>
      <c r="K174" s="3" t="str">
        <f>HYPERLINK("https://www.google.com/maps/reviews/data=!4m8!14m7!1m6!2m5!1sCi9DQUlRQUNvZENodHljRjlvT201dlowUkRaUzB3T0hoMVZITTFPRTlJU0hobU1GRRAB!2m1!1s0x0:0xf0cc56af77ac5210!3m1!1s2@1:CAIQACodChtycF9oOm5vZ0RDZS0wOHh1VHM1OE9ISHhmMFE%7C%7C?hl=en", "View Link")</f>
        <v>View Link</v>
      </c>
      <c r="L174" s="3"/>
    </row>
    <row r="175" spans="1:12" ht="20" customHeight="1">
      <c r="A175" s="2"/>
      <c r="B175" s="2"/>
      <c r="C175" s="2"/>
      <c r="D175" s="2"/>
      <c r="E175" s="3"/>
      <c r="F175" s="4"/>
      <c r="G175" s="5" t="s">
        <v>575</v>
      </c>
      <c r="H175" s="4">
        <v>1</v>
      </c>
      <c r="I175" s="2" t="s">
        <v>576</v>
      </c>
      <c r="J175" s="4" t="s">
        <v>577</v>
      </c>
      <c r="K175" s="3" t="str">
        <f>HYPERLINK("https://www.google.com/maps/reviews/data=!4m8!14m7!1m6!2m5!1sCi9DQUlRQUNvZENodHljRjlvT2xGVlFsbFpVRTlGVW01U1IzbFliM2RoWVU1d01tYxAB!2m1!1s0x0:0xf0cc56af77ac5210!3m1!1s2@1:CAIQACodChtycF9oOlFVQllZUE9FUm5SR3lYb3dhYU5wMmc%7C%7C?hl=en", "View Link")</f>
        <v>View Link</v>
      </c>
      <c r="L175" s="3"/>
    </row>
    <row r="176" spans="1:12" ht="20" customHeight="1">
      <c r="A176" s="2"/>
      <c r="B176" s="2"/>
      <c r="C176" s="2"/>
      <c r="D176" s="2"/>
      <c r="E176" s="3"/>
      <c r="F176" s="4"/>
      <c r="G176" s="5" t="s">
        <v>578</v>
      </c>
      <c r="H176" s="4">
        <v>1</v>
      </c>
      <c r="I176" s="2" t="s">
        <v>579</v>
      </c>
      <c r="J176" s="4" t="s">
        <v>580</v>
      </c>
      <c r="K176" s="3" t="str">
        <f>HYPERLINK("https://www.google.com/maps/reviews/data=!4m8!14m7!1m6!2m5!1sCi9DQUlRQUNvZENodHljRjlvT2pCUllVOVlORmRCTFdwV1JFRXlhMWRxYUU1dFdYYxAB!2m1!1s0x0:0xf0cc56af77ac5210!3m1!1s2@1:CAIQACodChtycF9oOjBRYU9YNFdBLWpWREEya1dqaE5tWXc%7C%7C?hl=en", "View Link")</f>
        <v>View Link</v>
      </c>
      <c r="L176" s="3"/>
    </row>
    <row r="177" spans="1:12" ht="20" customHeight="1">
      <c r="A177" s="2"/>
      <c r="B177" s="2"/>
      <c r="C177" s="2"/>
      <c r="D177" s="2"/>
      <c r="E177" s="3"/>
      <c r="F177" s="4"/>
      <c r="G177" s="5" t="s">
        <v>581</v>
      </c>
      <c r="H177" s="4">
        <v>1</v>
      </c>
      <c r="I177" s="2" t="s">
        <v>582</v>
      </c>
      <c r="J177" s="4" t="s">
        <v>583</v>
      </c>
      <c r="K177" s="3" t="str">
        <f>HYPERLINK("https://www.google.com/maps/reviews/data=!4m8!14m7!1m6!2m5!1sCi9DQUlRQUNvZENodHljRjlvT2xSclFVeHFWbVZ3WVd0cU1GcGxNa1J4TlVGUWNGRRAB!2m1!1s0x0:0xf0cc56af77ac5210!3m1!1s2@1:CAIQACodChtycF9oOlRrQUxqVmVwYWtqMFplMkRxNUFQcFE%7C%7C?hl=en", "View Link")</f>
        <v>View Link</v>
      </c>
      <c r="L177" s="3"/>
    </row>
    <row r="178" spans="1:12" ht="20" customHeight="1">
      <c r="A178" s="2"/>
      <c r="B178" s="2"/>
      <c r="C178" s="2"/>
      <c r="D178" s="2"/>
      <c r="E178" s="3"/>
      <c r="F178" s="4"/>
      <c r="G178" s="5" t="s">
        <v>584</v>
      </c>
      <c r="H178" s="4">
        <v>1</v>
      </c>
      <c r="I178" s="2" t="s">
        <v>585</v>
      </c>
      <c r="J178" s="4" t="s">
        <v>586</v>
      </c>
      <c r="K178" s="3" t="str">
        <f>HYPERLINK("https://www.google.com/maps/reviews/data=!4m8!14m7!1m6!2m5!1sCi9DQUlRQUNvZENodHljRjlvT25nNWMyZzRSbEZsTUhvMFlYcGFOazlEUjBab1JFRRAB!2m1!1s0x0:0xf0cc56af77ac5210!3m1!1s2@1:CAIQACodChtycF9oOng5c2g4RlFlMHo0YXpaNk9DR0ZoREE%7C%7C?hl=en", "View Link")</f>
        <v>View Link</v>
      </c>
      <c r="L178" s="3"/>
    </row>
    <row r="179" spans="1:12" ht="20" customHeight="1">
      <c r="A179" s="2"/>
      <c r="B179" s="2"/>
      <c r="C179" s="2"/>
      <c r="D179" s="2"/>
      <c r="E179" s="3"/>
      <c r="F179" s="4"/>
      <c r="G179" s="5" t="s">
        <v>587</v>
      </c>
      <c r="H179" s="4">
        <v>1</v>
      </c>
      <c r="I179" s="2" t="s">
        <v>588</v>
      </c>
      <c r="J179" s="4" t="s">
        <v>589</v>
      </c>
      <c r="K179" s="3" t="str">
        <f>HYPERLINK("https://www.google.com/maps/reviews/data=!4m8!14m7!1m6!2m5!1sCi9DQUlRQUNvZENodHljRjlvT2xWd1kxbzJhMnRCVkc5Tk9EUk5UR2RJZVVSRWFFRRAB!2m1!1s0x0:0xf0cc56af77ac5210!3m1!1s2@1:CAIQACodChtycF9oOlVwY1o2a2tBVG9NODRNTGdIeUREaEE%7C%7C?hl=en", "View Link")</f>
        <v>View Link</v>
      </c>
      <c r="L179" s="3"/>
    </row>
    <row r="180" spans="1:12" ht="20" customHeight="1">
      <c r="A180" s="2"/>
      <c r="B180" s="2"/>
      <c r="C180" s="2"/>
      <c r="D180" s="2"/>
      <c r="E180" s="3"/>
      <c r="F180" s="4"/>
      <c r="G180" s="5" t="s">
        <v>590</v>
      </c>
      <c r="H180" s="4">
        <v>1</v>
      </c>
      <c r="I180" s="2" t="s">
        <v>591</v>
      </c>
      <c r="J180" s="4" t="s">
        <v>592</v>
      </c>
      <c r="K180" s="3" t="str">
        <f>HYPERLINK("https://www.google.com/maps/reviews/data=!4m8!14m7!1m6!2m5!1sCi9DQUlRQUNvZENodHljRjlvT25kbk9UUlljVUZFTFhKUVltNDFhV2RoYVdKblJHYxAB!2m1!1s0x0:0xf0cc56af77ac5210!3m1!1s2@1:CAIQACodChtycF9oOndnOTRYcUFELXJQYm41aWdhaWJnRGc%7C%7C?hl=en", "View Link")</f>
        <v>View Link</v>
      </c>
      <c r="L180" s="3"/>
    </row>
    <row r="181" spans="1:12" ht="20" customHeight="1">
      <c r="A181" s="2"/>
      <c r="B181" s="2"/>
      <c r="C181" s="2"/>
      <c r="D181" s="2"/>
      <c r="E181" s="3"/>
      <c r="F181" s="4"/>
      <c r="G181" s="5" t="s">
        <v>593</v>
      </c>
      <c r="H181" s="4">
        <v>1</v>
      </c>
      <c r="I181" s="2" t="s">
        <v>594</v>
      </c>
      <c r="J181" s="4" t="s">
        <v>595</v>
      </c>
      <c r="K181" s="3" t="str">
        <f>HYPERLINK("https://www.google.com/maps/reviews/data=!4m8!14m7!1m6!2m5!1sCi9DQUlRQUNvZENodHljRjlvT210cFpXdGZPRVZwYW5WT04wRlBUbDlQU0RSUmRYYxAB!2m1!1s0x0:0xf0cc56af77ac5210!3m1!1s2@1:CAIQACodChtycF9oOmtpZWtfOEVpanVON0FPTl9PSDRRdXc%7C%7C?hl=en", "View Link")</f>
        <v>View Link</v>
      </c>
      <c r="L181" s="3"/>
    </row>
    <row r="182" spans="1:12" ht="20" customHeight="1">
      <c r="A182" s="2"/>
      <c r="B182" s="2"/>
      <c r="C182" s="2"/>
      <c r="D182" s="2"/>
      <c r="E182" s="3"/>
      <c r="F182" s="4"/>
      <c r="G182" s="5" t="s">
        <v>596</v>
      </c>
      <c r="H182" s="4">
        <v>1</v>
      </c>
      <c r="I182" s="2" t="s">
        <v>597</v>
      </c>
      <c r="J182" s="4" t="s">
        <v>598</v>
      </c>
      <c r="K182" s="3" t="str">
        <f>HYPERLINK("https://www.google.com/maps/reviews/data=!4m8!14m7!1m6!2m5!1sChdDSUhNMG9nS0VJQ0FnTURvaXVyaHBnRRAB!2m1!1s0x0:0xf0cc56af77ac5210!3m1!1s2@1:CIHM0ogKEICAgMDoiurhpgE%7C%7C?hl=en", "View Link")</f>
        <v>View Link</v>
      </c>
      <c r="L182" s="3"/>
    </row>
    <row r="183" spans="1:12" ht="20" customHeight="1">
      <c r="A183" s="2"/>
      <c r="B183" s="2"/>
      <c r="C183" s="2"/>
      <c r="D183" s="2"/>
      <c r="E183" s="3"/>
      <c r="F183" s="4"/>
      <c r="G183" s="5" t="s">
        <v>599</v>
      </c>
      <c r="H183" s="4">
        <v>1</v>
      </c>
      <c r="I183" s="2" t="s">
        <v>600</v>
      </c>
      <c r="J183" s="4" t="s">
        <v>601</v>
      </c>
      <c r="K183" s="3" t="str">
        <f>HYPERLINK("https://www.google.com/maps/reviews/data=!4m8!14m7!1m6!2m5!1sCi9DQUlRQUNvZENodHljRjlvT2tRemQxcFFlakZtVjFobVIyRlZWazEyYUZKWk1XYxAB!2m1!1s0x0:0xf0cc56af77ac5210!3m1!1s2@1:CAIQACodChtycF9oOkQzd1pQejFmV1hmR2FVVk12aFJZMWc%7C%7C?hl=en", "View Link")</f>
        <v>View Link</v>
      </c>
      <c r="L183" s="3"/>
    </row>
    <row r="184" spans="1:12" ht="20" customHeight="1">
      <c r="A184" s="2"/>
      <c r="B184" s="2"/>
      <c r="C184" s="2"/>
      <c r="D184" s="2"/>
      <c r="E184" s="3"/>
      <c r="F184" s="4"/>
      <c r="G184" s="5" t="s">
        <v>602</v>
      </c>
      <c r="H184" s="4">
        <v>1</v>
      </c>
      <c r="I184" s="2" t="s">
        <v>603</v>
      </c>
      <c r="J184" s="4" t="s">
        <v>604</v>
      </c>
      <c r="K184" s="3" t="str">
        <f>HYPERLINK("https://www.google.com/maps/reviews/data=!4m8!14m7!1m6!2m5!1sCi9DQUlRQUNvZENodHljRjlvT2tOTmFrZDFhSEJPY0dOME1YRlJVRkJ6U1d3eVVYYxAB!2m1!1s0x0:0xf0cc56af77ac5210!3m1!1s2@1:CAIQACodChtycF9oOkNNakd1aHBOcGN0MXFRUFBzSWwyUXc%7C%7C?hl=en", "View Link")</f>
        <v>View Link</v>
      </c>
      <c r="L184" s="3"/>
    </row>
    <row r="185" spans="1:12" ht="20" customHeight="1">
      <c r="A185" s="2"/>
      <c r="B185" s="2"/>
      <c r="C185" s="2"/>
      <c r="D185" s="2"/>
      <c r="E185" s="3"/>
      <c r="F185" s="4"/>
      <c r="G185" s="5" t="s">
        <v>605</v>
      </c>
      <c r="H185" s="4">
        <v>1</v>
      </c>
      <c r="I185" s="2" t="s">
        <v>606</v>
      </c>
      <c r="J185" s="4" t="s">
        <v>607</v>
      </c>
      <c r="K185" s="3" t="str">
        <f>HYPERLINK("https://www.google.com/maps/reviews/data=!4m8!14m7!1m6!2m5!1sChdDSUhNMG9nS0VJQ0FnTURJMGRUdXZRRRAB!2m1!1s0x0:0xf0cc56af77ac5210!3m1!1s2@1:CIHM0ogKEICAgMDI0dTuvQE%7C%7C?hl=en", "View Link")</f>
        <v>View Link</v>
      </c>
      <c r="L185" s="3"/>
    </row>
    <row r="186" spans="1:12" ht="20" customHeight="1">
      <c r="A186" s="2"/>
      <c r="B186" s="2"/>
      <c r="C186" s="2"/>
      <c r="D186" s="2"/>
      <c r="E186" s="3"/>
      <c r="F186" s="4"/>
      <c r="G186" s="5" t="s">
        <v>608</v>
      </c>
      <c r="H186" s="4">
        <v>1</v>
      </c>
      <c r="I186" s="2" t="s">
        <v>609</v>
      </c>
      <c r="J186" s="4" t="s">
        <v>610</v>
      </c>
      <c r="K186" s="3" t="str">
        <f>HYPERLINK("https://www.google.com/maps/reviews/data=!4m8!14m7!1m6!2m5!1sChdDSUhNMG9nS0VJQ0FnTUNncWZQWXhBRRAB!2m1!1s0x0:0xf0cc56af77ac5210!3m1!1s2@1:CIHM0ogKEICAgMCgqfPYxAE%7C%7C?hl=en", "View Link")</f>
        <v>View Link</v>
      </c>
      <c r="L186" s="3"/>
    </row>
    <row r="187" spans="1:12" ht="20" customHeight="1">
      <c r="A187" s="2" t="s">
        <v>611</v>
      </c>
      <c r="B187" s="2" t="s">
        <v>612</v>
      </c>
      <c r="C187" s="2" t="s">
        <v>613</v>
      </c>
      <c r="D187" s="2" t="s">
        <v>614</v>
      </c>
      <c r="E187" s="3">
        <f>HYPERLINK("https://www.defelipe.com/", "Visit Website")</f>
        <v>0</v>
      </c>
      <c r="F187" s="4">
        <v>4.4</v>
      </c>
      <c r="G187" s="5" t="s">
        <v>615</v>
      </c>
      <c r="H187" s="4">
        <v>1</v>
      </c>
      <c r="I187" s="2" t="s">
        <v>616</v>
      </c>
      <c r="J187" s="4" t="s">
        <v>617</v>
      </c>
      <c r="K187" s="3" t="str">
        <f>HYPERLINK("https://www.google.com/maps/reviews/data=!4m8!14m7!1m6!2m5!1sCi9DQUlRQUNvZENodHljRjlvT25WVU1uUjVSazE0UzBKVVJXUlVZM3B0UWtOc2NXYxAB!2m1!1s0x0:0xa0c6a4759605aa8b!3m1!1s2@1:CAIQACodChtycF9oOnVUMnR5Rk14S0JURWRUY3ptQkNscWc%7C%7C?hl=en", "View Link")</f>
        <v>View Link</v>
      </c>
      <c r="L187" s="3">
        <f>HYPERLINK("https://www.google.com/maps/search/?api=1&amp;query=Dr.%20%C3%8D%C3%B1igo%20de%20Felipe%20%7C%20Dermat%C3%B3logo%20Barcelona&amp;query_place_id=ChIJJWKmHQKjpBIRi6oFlnWkxqA", "Open Map")</f>
        <v>0</v>
      </c>
    </row>
    <row r="188" spans="1:12" ht="20" customHeight="1">
      <c r="A188" s="2"/>
      <c r="B188" s="2"/>
      <c r="C188" s="2"/>
      <c r="D188" s="2"/>
      <c r="E188" s="3"/>
      <c r="F188" s="4"/>
      <c r="G188" s="5" t="s">
        <v>618</v>
      </c>
      <c r="H188" s="4">
        <v>1</v>
      </c>
      <c r="I188" s="2" t="s">
        <v>619</v>
      </c>
      <c r="J188" s="4" t="s">
        <v>620</v>
      </c>
      <c r="K188" s="3" t="str">
        <f>HYPERLINK("https://www.google.com/maps/reviews/data=!4m8!14m7!1m6!2m5!1sCi9DQUlRQUNvZENodHljRjlvT2xCdmEwaEhRVGd5ZURSMGFHRkRUMVJPVVRaV1luYxAB!2m1!1s0x0:0xa0c6a4759605aa8b!3m1!1s2@1:CAIQACodChtycF9oOlBva0hHQTgyeDR0aGFDT1ROUTZWYnc%7C%7C?hl=en", "View Link")</f>
        <v>View Link</v>
      </c>
      <c r="L188" s="3"/>
    </row>
    <row r="189" spans="1:12" ht="20" customHeight="1">
      <c r="A189" s="2"/>
      <c r="B189" s="2"/>
      <c r="C189" s="2"/>
      <c r="D189" s="2"/>
      <c r="E189" s="3"/>
      <c r="F189" s="4"/>
      <c r="G189" s="5" t="s">
        <v>621</v>
      </c>
      <c r="H189" s="4">
        <v>1</v>
      </c>
      <c r="I189" s="2" t="s">
        <v>622</v>
      </c>
      <c r="J189" s="4" t="s">
        <v>623</v>
      </c>
      <c r="K189" s="3" t="str">
        <f>HYPERLINK("https://www.google.com/maps/reviews/data=!4m8!14m7!1m6!2m5!1sChdDSUhNMG9nS0VJQ0FnSURPemZ1cTBBRRAB!2m1!1s0x0:0xa0c6a4759605aa8b!3m1!1s2@1:CIHM0ogKEICAgIDOzfuq0AE%7C%7C?hl=en", "View Link")</f>
        <v>View Link</v>
      </c>
      <c r="L189" s="3"/>
    </row>
    <row r="190" spans="1:12" ht="20" customHeight="1">
      <c r="A190" s="2"/>
      <c r="B190" s="2"/>
      <c r="C190" s="2"/>
      <c r="D190" s="2"/>
      <c r="E190" s="3"/>
      <c r="F190" s="4"/>
      <c r="G190" s="5" t="s">
        <v>624</v>
      </c>
      <c r="H190" s="4">
        <v>1</v>
      </c>
      <c r="I190" s="2" t="s">
        <v>625</v>
      </c>
      <c r="J190" s="4" t="s">
        <v>626</v>
      </c>
      <c r="K190" s="3" t="str">
        <f>HYPERLINK("https://www.google.com/maps/reviews/data=!4m8!14m7!1m6!2m5!1sCi9DQUlRQUNvZENodHljRjlvT2xGaVlrZFJUM2xtVjBoV09IbzVka2x5UkdnM1dHYxAB!2m1!1s0x0:0xa0c6a4759605aa8b!3m1!1s2@1:CAIQACodChtycF9oOlFiYkdRT3lmV0hWOHo5dklyRGg3WGc%7C%7C?hl=en", "View Link")</f>
        <v>View Link</v>
      </c>
      <c r="L190" s="3"/>
    </row>
    <row r="191" spans="1:12" ht="20" customHeight="1">
      <c r="A191" s="2"/>
      <c r="B191" s="2"/>
      <c r="C191" s="2"/>
      <c r="D191" s="2"/>
      <c r="E191" s="3"/>
      <c r="F191" s="4"/>
      <c r="G191" s="5" t="s">
        <v>627</v>
      </c>
      <c r="H191" s="4">
        <v>1</v>
      </c>
      <c r="I191" s="2" t="s">
        <v>628</v>
      </c>
      <c r="J191" s="4" t="s">
        <v>629</v>
      </c>
      <c r="K191" s="3" t="str">
        <f>HYPERLINK("https://www.google.com/maps/reviews/data=!4m8!14m7!1m6!2m5!1sCi9DQUlRQUNvZENodHljRjlvT2twVWNGa3laMDlUUVc5eVpuaEtXRjltUjNkUFQwRRAB!2m1!1s0x0:0xa0c6a4759605aa8b!3m1!1s2@1:CAIQACodChtycF9oOkpUcFkyZ09TQW9yZnhKWF9mR3dPT0E%7C%7C?hl=en", "View Link")</f>
        <v>View Link</v>
      </c>
      <c r="L191" s="3"/>
    </row>
    <row r="192" spans="1:12" ht="20" customHeight="1">
      <c r="A192" s="2"/>
      <c r="B192" s="2"/>
      <c r="C192" s="2"/>
      <c r="D192" s="2"/>
      <c r="E192" s="3"/>
      <c r="F192" s="4"/>
      <c r="G192" s="5" t="s">
        <v>630</v>
      </c>
      <c r="H192" s="4">
        <v>1</v>
      </c>
      <c r="I192" s="2" t="s">
        <v>631</v>
      </c>
      <c r="J192" s="4" t="s">
        <v>632</v>
      </c>
      <c r="K192" s="3" t="str">
        <f>HYPERLINK("https://www.google.com/maps/reviews/data=!4m8!14m7!1m6!2m5!1sChdDSUhNMG9nS0VJQ0FnTURBODh2U21BRRAB!2m1!1s0x0:0xa0c6a4759605aa8b!3m1!1s2@1:CIHM0ogKEICAgMDA88vSmAE%7C%7C?hl=en", "View Link")</f>
        <v>View Link</v>
      </c>
      <c r="L192" s="3"/>
    </row>
    <row r="193" spans="1:12" ht="20" customHeight="1">
      <c r="A193" s="2"/>
      <c r="B193" s="2"/>
      <c r="C193" s="2"/>
      <c r="D193" s="2"/>
      <c r="E193" s="3"/>
      <c r="F193" s="4"/>
      <c r="G193" s="5" t="s">
        <v>633</v>
      </c>
      <c r="H193" s="4">
        <v>1</v>
      </c>
      <c r="I193" s="2" t="s">
        <v>634</v>
      </c>
      <c r="J193" s="4" t="s">
        <v>635</v>
      </c>
      <c r="K193" s="3" t="str">
        <f>HYPERLINK("https://www.google.com/maps/reviews/data=!4m8!14m7!1m6!2m5!1sChdDSUhNMG9nS0VJQ0FnSUN4bnZ1c19RRRAB!2m1!1s0x0:0xa0c6a4759605aa8b!3m1!1s2@1:CIHM0ogKEICAgICxnvus_QE%7C%7C?hl=en", "View Link")</f>
        <v>View Link</v>
      </c>
      <c r="L193" s="3"/>
    </row>
    <row r="194" spans="1:12" ht="20" customHeight="1">
      <c r="A194" s="2"/>
      <c r="B194" s="2"/>
      <c r="C194" s="2"/>
      <c r="D194" s="2"/>
      <c r="E194" s="3"/>
      <c r="F194" s="4"/>
      <c r="G194" s="5" t="s">
        <v>636</v>
      </c>
      <c r="H194" s="4">
        <v>2</v>
      </c>
      <c r="I194" s="2" t="s">
        <v>637</v>
      </c>
      <c r="J194" s="4" t="s">
        <v>638</v>
      </c>
      <c r="K194" s="3" t="str">
        <f>HYPERLINK("https://www.google.com/maps/reviews/data=!4m8!14m7!1m6!2m5!1sCi9DQUlRQUNvZENodHljRjlvT25remJteHpaV05SZVVZNE5WbEJWRXRZY1hwSGVsRRAB!2m1!1s0x0:0xa0c6a4759605aa8b!3m1!1s2@1:CAIQACodChtycF9oOnkzbmxzZWNReUY4NVlBVEtYcXpHelE%7C%7C?hl=en", "View Link")</f>
        <v>View Link</v>
      </c>
      <c r="L194" s="3"/>
    </row>
    <row r="195" spans="1:12" ht="20" customHeight="1">
      <c r="A195" s="2"/>
      <c r="B195" s="2"/>
      <c r="C195" s="2"/>
      <c r="D195" s="2"/>
      <c r="E195" s="3"/>
      <c r="F195" s="4"/>
      <c r="G195" s="5" t="s">
        <v>639</v>
      </c>
      <c r="H195" s="4">
        <v>2</v>
      </c>
      <c r="I195" s="2" t="s">
        <v>640</v>
      </c>
      <c r="J195" s="4" t="s">
        <v>641</v>
      </c>
      <c r="K195" s="3" t="str">
        <f>HYPERLINK("https://www.google.com/maps/reviews/data=!4m8!14m7!1m6!2m5!1sCi9DQUlRQUNvZENodHljRjlvT2s4MFNXTnFkbWxYVWxrMVJITk1RbVZrY0RkZlFWRRAB!2m1!1s0x0:0xa0c6a4759605aa8b!3m1!1s2@1:CAIQACodChtycF9oOk80SWNqdmlXUlk1RHNMQmVkcDdfQVE%7C%7C?hl=en", "View Link")</f>
        <v>View Link</v>
      </c>
      <c r="L195" s="3"/>
    </row>
    <row r="196" spans="1:12" ht="20" customHeight="1">
      <c r="A196" s="2"/>
      <c r="B196" s="2"/>
      <c r="C196" s="2"/>
      <c r="D196" s="2"/>
      <c r="E196" s="3"/>
      <c r="F196" s="4"/>
      <c r="G196" s="5" t="s">
        <v>642</v>
      </c>
      <c r="H196" s="4">
        <v>2</v>
      </c>
      <c r="I196" s="2" t="s">
        <v>643</v>
      </c>
      <c r="J196" s="4" t="s">
        <v>644</v>
      </c>
      <c r="K196" s="3" t="str">
        <f>HYPERLINK("https://www.google.com/maps/reviews/data=!4m8!14m7!1m6!2m5!1sCi9DQUlRQUNvZENodHljRjlvT25BdFZtWjNiRW94UTJWdE4wWm5hM2R0WldWdE1uYxAB!2m1!1s0x0:0xa0c6a4759605aa8b!3m1!1s2@1:CAIQACodChtycF9oOnAtVmZ3bEoxQ2VtN0Zna3dtZWVtMnc%7C%7C?hl=en", "View Link")</f>
        <v>View Link</v>
      </c>
      <c r="L196" s="3"/>
    </row>
    <row r="197" spans="1:12" ht="20" customHeight="1">
      <c r="A197" s="2"/>
      <c r="B197" s="2"/>
      <c r="C197" s="2"/>
      <c r="D197" s="2"/>
      <c r="E197" s="3"/>
      <c r="F197" s="4"/>
      <c r="G197" s="5" t="s">
        <v>645</v>
      </c>
      <c r="H197" s="4">
        <v>2</v>
      </c>
      <c r="I197" s="2" t="s">
        <v>646</v>
      </c>
      <c r="J197" s="4" t="s">
        <v>647</v>
      </c>
      <c r="K197" s="3" t="str">
        <f>HYPERLINK("https://www.google.com/maps/reviews/data=!4m8!14m7!1m6!2m5!1sChdDSUhNMG9nS0VJQ0FnSURueHNENGpnRRAB!2m1!1s0x0:0xa0c6a4759605aa8b!3m1!1s2@1:CIHM0ogKEICAgIDnxsD4jgE%7C%7C?hl=en", "View Link")</f>
        <v>View Link</v>
      </c>
      <c r="L197" s="3"/>
    </row>
    <row r="198" spans="1:12" ht="20" customHeight="1">
      <c r="A198" s="2" t="s">
        <v>648</v>
      </c>
      <c r="B198" s="2" t="s">
        <v>649</v>
      </c>
      <c r="C198" s="2" t="s">
        <v>650</v>
      </c>
      <c r="D198" s="2" t="s">
        <v>89</v>
      </c>
      <c r="E198" s="3">
        <f>HYPERLINK("http://www.pabloumbert.com/", "Visit Website")</f>
        <v>0</v>
      </c>
      <c r="F198" s="4">
        <v>4.1</v>
      </c>
      <c r="G198" s="5" t="s">
        <v>651</v>
      </c>
      <c r="H198" s="4">
        <v>1</v>
      </c>
      <c r="I198" s="2" t="s">
        <v>652</v>
      </c>
      <c r="J198" s="4" t="s">
        <v>653</v>
      </c>
      <c r="K198" s="3" t="str">
        <f>HYPERLINK("https://www.google.com/maps/reviews/data=!4m8!14m7!1m6!2m5!1sChZDSUhNMG9nS0VJQ0FnSURnZ2NpU1hBEAE!2m1!1s0x0:0x40c8a36ccf6e362f!3m1!1s2@1:CIHM0ogKEICAgIDggciSXA%7C%7C?hl=en", "View Link")</f>
        <v>View Link</v>
      </c>
      <c r="L198" s="3">
        <f>HYPERLINK("https://www.google.com/maps/search/?api=1&amp;query=Pablo%20Umbert%20Millet&amp;query_place_id=ChIJqZAa2GiYpBIRLzZuz2yjyEA", "Open Map")</f>
        <v>0</v>
      </c>
    </row>
    <row r="199" spans="1:12" ht="20" customHeight="1">
      <c r="A199" s="2"/>
      <c r="B199" s="2"/>
      <c r="C199" s="2"/>
      <c r="D199" s="2"/>
      <c r="E199" s="3"/>
      <c r="F199" s="4"/>
      <c r="G199" s="5" t="s">
        <v>654</v>
      </c>
      <c r="H199" s="4">
        <v>1</v>
      </c>
      <c r="I199" s="2" t="s">
        <v>655</v>
      </c>
      <c r="J199" s="4" t="s">
        <v>656</v>
      </c>
      <c r="K199" s="3" t="str">
        <f>HYPERLINK("https://www.google.com/maps/reviews/data=!4m8!14m7!1m6!2m5!1sChdDSUhNMG9nS0VJQ0FnSUNOMV9YenNnRRAB!2m1!1s0x0:0x40c8a36ccf6e362f!3m1!1s2@1:CIHM0ogKEICAgICN1_XzsgE%7C%7C?hl=en", "View Link")</f>
        <v>View Link</v>
      </c>
      <c r="L199" s="3"/>
    </row>
    <row r="200" spans="1:12" ht="20" customHeight="1">
      <c r="A200" s="2"/>
      <c r="B200" s="2"/>
      <c r="C200" s="2"/>
      <c r="D200" s="2"/>
      <c r="E200" s="3"/>
      <c r="F200" s="4"/>
      <c r="G200" s="5" t="s">
        <v>657</v>
      </c>
      <c r="H200" s="4">
        <v>1</v>
      </c>
      <c r="I200" s="2" t="s">
        <v>658</v>
      </c>
      <c r="J200" s="4" t="s">
        <v>659</v>
      </c>
      <c r="K200" s="3" t="str">
        <f>HYPERLINK("https://www.google.com/maps/reviews/data=!4m8!14m7!1m6!2m5!1sChZDSUhNMG9nS0VJQ0FnSUNKNjdQbFF3EAE!2m1!1s0x0:0x40c8a36ccf6e362f!3m1!1s2@1:CIHM0ogKEICAgICJ67PlQw%7C%7C?hl=en", "View Link")</f>
        <v>View Link</v>
      </c>
      <c r="L200" s="3"/>
    </row>
    <row r="201" spans="1:12" ht="20" customHeight="1">
      <c r="A201" s="2"/>
      <c r="B201" s="2"/>
      <c r="C201" s="2"/>
      <c r="D201" s="2"/>
      <c r="E201" s="3"/>
      <c r="F201" s="4"/>
      <c r="G201" s="5" t="s">
        <v>660</v>
      </c>
      <c r="H201" s="4">
        <v>1</v>
      </c>
      <c r="I201" s="2" t="s">
        <v>661</v>
      </c>
      <c r="J201" s="4" t="s">
        <v>662</v>
      </c>
      <c r="K201" s="3" t="str">
        <f>HYPERLINK("https://www.google.com/maps/reviews/data=!4m8!14m7!1m6!2m5!1sChZDSUhNMG9nS0VJQ0FnSUNacGVQYVZBEAE!2m1!1s0x0:0x40c8a36ccf6e362f!3m1!1s2@1:CIHM0ogKEICAgICZpePaVA%7C%7C?hl=en", "View Link")</f>
        <v>View Link</v>
      </c>
      <c r="L201" s="3"/>
    </row>
    <row r="202" spans="1:12" ht="20" customHeight="1">
      <c r="A202" s="2"/>
      <c r="B202" s="2"/>
      <c r="C202" s="2"/>
      <c r="D202" s="2"/>
      <c r="E202" s="3"/>
      <c r="F202" s="4"/>
      <c r="G202" s="5" t="s">
        <v>663</v>
      </c>
      <c r="H202" s="4">
        <v>1</v>
      </c>
      <c r="I202" s="2" t="s">
        <v>664</v>
      </c>
      <c r="J202" s="4" t="s">
        <v>665</v>
      </c>
      <c r="K202" s="3" t="str">
        <f>HYPERLINK("https://www.google.com/maps/reviews/data=!4m8!14m7!1m6!2m5!1sChdDSUhNMG9nS0VJQ0FnSUNSeHMzR2hRRRAB!2m1!1s0x0:0x40c8a36ccf6e362f!3m1!1s2@1:CIHM0ogKEICAgICRxs3GhQE%7C%7C?hl=en", "View Link")</f>
        <v>View Link</v>
      </c>
      <c r="L202" s="3"/>
    </row>
    <row r="203" spans="1:12" ht="20" customHeight="1">
      <c r="A203" s="2"/>
      <c r="B203" s="2"/>
      <c r="C203" s="2"/>
      <c r="D203" s="2"/>
      <c r="E203" s="3"/>
      <c r="F203" s="4"/>
      <c r="G203" s="5" t="s">
        <v>666</v>
      </c>
      <c r="H203" s="4">
        <v>1</v>
      </c>
      <c r="I203" s="2" t="s">
        <v>667</v>
      </c>
      <c r="J203" s="4" t="s">
        <v>668</v>
      </c>
      <c r="K203" s="3" t="str">
        <f>HYPERLINK("https://www.google.com/maps/reviews/data=!4m8!14m7!1m6!2m5!1sChZDSUhNMG9nS0VJQ0FnSUN6NXRhdUJREAE!2m1!1s0x0:0x40c8a36ccf6e362f!3m1!1s2@1:CIHM0ogKEICAgICz5tauBQ%7C%7C?hl=en", "View Link")</f>
        <v>View Link</v>
      </c>
      <c r="L203" s="3"/>
    </row>
    <row r="204" spans="1:12" ht="20" customHeight="1">
      <c r="A204" s="2"/>
      <c r="B204" s="2"/>
      <c r="C204" s="2"/>
      <c r="D204" s="2"/>
      <c r="E204" s="3"/>
      <c r="F204" s="4"/>
      <c r="G204" s="5" t="s">
        <v>669</v>
      </c>
      <c r="H204" s="4">
        <v>1</v>
      </c>
      <c r="I204" s="2" t="s">
        <v>670</v>
      </c>
      <c r="J204" s="4" t="s">
        <v>671</v>
      </c>
      <c r="K204" s="3" t="str">
        <f>HYPERLINK("https://www.google.com/maps/reviews/data=!4m8!14m7!1m6!2m5!1sChZDSUhNMG9nS0VJQ0FnSUNtcC1pMmJREAE!2m1!1s0x0:0x40c8a36ccf6e362f!3m1!1s2@1:CIHM0ogKEICAgICmp-i2bQ%7C%7C?hl=en", "View Link")</f>
        <v>View Link</v>
      </c>
      <c r="L204" s="3"/>
    </row>
    <row r="205" spans="1:12" ht="20" customHeight="1">
      <c r="A205" s="2"/>
      <c r="B205" s="2"/>
      <c r="C205" s="2"/>
      <c r="D205" s="2"/>
      <c r="E205" s="3"/>
      <c r="F205" s="4"/>
      <c r="G205" s="5" t="s">
        <v>672</v>
      </c>
      <c r="H205" s="4">
        <v>1</v>
      </c>
      <c r="I205" s="2" t="s">
        <v>673</v>
      </c>
      <c r="J205" s="4" t="s">
        <v>674</v>
      </c>
      <c r="K205" s="3" t="str">
        <f>HYPERLINK("https://www.google.com/maps/reviews/data=!4m8!14m7!1m6!2m5!1sChZDSUhNMG9nS0VJQ0FnSUNDLWZ2bFlnEAE!2m1!1s0x0:0x40c8a36ccf6e362f!3m1!1s2@1:CIHM0ogKEICAgICC-fvlYg%7C%7C?hl=en", "View Link")</f>
        <v>View Link</v>
      </c>
      <c r="L205" s="3"/>
    </row>
    <row r="206" spans="1:12" ht="20" customHeight="1">
      <c r="A206" s="2"/>
      <c r="B206" s="2"/>
      <c r="C206" s="2"/>
      <c r="D206" s="2"/>
      <c r="E206" s="3"/>
      <c r="F206" s="4"/>
      <c r="G206" s="5" t="s">
        <v>675</v>
      </c>
      <c r="H206" s="4">
        <v>1</v>
      </c>
      <c r="I206" s="2" t="s">
        <v>676</v>
      </c>
      <c r="J206" s="4" t="s">
        <v>677</v>
      </c>
      <c r="K206" s="3" t="str">
        <f>HYPERLINK("https://www.google.com/maps/reviews/data=!4m8!14m7!1m6!2m5!1sChZDSUhNMG9nS0VJQ0FnSURXdWE2bVlnEAE!2m1!1s0x0:0x40c8a36ccf6e362f!3m1!1s2@1:CIHM0ogKEICAgIDWua6mYg%7C%7C?hl=en", "View Link")</f>
        <v>View Link</v>
      </c>
      <c r="L206" s="3"/>
    </row>
    <row r="207" spans="1:12" ht="20" customHeight="1">
      <c r="A207" s="2"/>
      <c r="B207" s="2"/>
      <c r="C207" s="2"/>
      <c r="D207" s="2"/>
      <c r="E207" s="3"/>
      <c r="F207" s="4"/>
      <c r="G207" s="5" t="s">
        <v>678</v>
      </c>
      <c r="H207" s="4">
        <v>1</v>
      </c>
      <c r="I207" s="2" t="s">
        <v>679</v>
      </c>
      <c r="J207" s="4" t="s">
        <v>680</v>
      </c>
      <c r="K207" s="3" t="str">
        <f>HYPERLINK("https://www.google.com/maps/reviews/data=!4m8!14m7!1m6!2m5!1sChZDSUhNMG9nS0VJQ0FnSUQwdWRYZ2FBEAE!2m1!1s0x0:0x40c8a36ccf6e362f!3m1!1s2@1:CIHM0ogKEICAgID0udXgaA%7C%7C?hl=en", "View Link")</f>
        <v>View Link</v>
      </c>
      <c r="L207" s="3"/>
    </row>
    <row r="208" spans="1:12" ht="20" customHeight="1">
      <c r="A208" s="2"/>
      <c r="B208" s="2"/>
      <c r="C208" s="2"/>
      <c r="D208" s="2"/>
      <c r="E208" s="3"/>
      <c r="F208" s="4"/>
      <c r="G208" s="5" t="s">
        <v>681</v>
      </c>
      <c r="H208" s="4">
        <v>1</v>
      </c>
      <c r="I208" s="2" t="s">
        <v>682</v>
      </c>
      <c r="J208" s="4" t="s">
        <v>683</v>
      </c>
      <c r="K208" s="3" t="str">
        <f>HYPERLINK("https://www.google.com/maps/reviews/data=!4m8!14m7!1m6!2m5!1sChdDSUhNMG9nS0VJQ0FnSUQwb1lIVHpRRRAB!2m1!1s0x0:0x40c8a36ccf6e362f!3m1!1s2@1:CIHM0ogKEICAgID0oYHTzQE%7C%7C?hl=en", "View Link")</f>
        <v>View Link</v>
      </c>
      <c r="L208" s="3"/>
    </row>
    <row r="209" spans="1:12" ht="20" customHeight="1">
      <c r="A209" s="2"/>
      <c r="B209" s="2"/>
      <c r="C209" s="2"/>
      <c r="D209" s="2"/>
      <c r="E209" s="3"/>
      <c r="F209" s="4"/>
      <c r="G209" s="5" t="s">
        <v>684</v>
      </c>
      <c r="H209" s="4">
        <v>1</v>
      </c>
      <c r="I209" s="2" t="s">
        <v>685</v>
      </c>
      <c r="J209" s="4" t="s">
        <v>686</v>
      </c>
      <c r="K209" s="3" t="str">
        <f>HYPERLINK("https://www.google.com/maps/reviews/data=!4m8!14m7!1m6!2m5!1sChZDSUhNMG9nS0VJQ0FnSUN4ekpLWEVREAE!2m1!1s0x0:0x40c8a36ccf6e362f!3m1!1s2@1:CIHM0ogKEICAgICxzJKXEQ%7C%7C?hl=en", "View Link")</f>
        <v>View Link</v>
      </c>
      <c r="L209" s="3"/>
    </row>
    <row r="210" spans="1:12" ht="20" customHeight="1">
      <c r="A210" s="2"/>
      <c r="B210" s="2"/>
      <c r="C210" s="2"/>
      <c r="D210" s="2"/>
      <c r="E210" s="3"/>
      <c r="F210" s="4"/>
      <c r="G210" s="5" t="s">
        <v>687</v>
      </c>
      <c r="H210" s="4">
        <v>1</v>
      </c>
      <c r="I210" s="2" t="s">
        <v>688</v>
      </c>
      <c r="J210" s="4" t="s">
        <v>689</v>
      </c>
      <c r="K210" s="3" t="str">
        <f>HYPERLINK("https://www.google.com/maps/reviews/data=!4m8!14m7!1m6!2m5!1sChZDSUhNMG9nS0VJQ0FnSUNBaHBYbEJ3EAE!2m1!1s0x0:0x40c8a36ccf6e362f!3m1!1s2@1:CIHM0ogKEICAgICAhpXlBw%7C%7C?hl=en", "View Link")</f>
        <v>View Link</v>
      </c>
      <c r="L210" s="3"/>
    </row>
    <row r="211" spans="1:12" ht="20" customHeight="1">
      <c r="A211" s="2"/>
      <c r="B211" s="2"/>
      <c r="C211" s="2"/>
      <c r="D211" s="2"/>
      <c r="E211" s="3"/>
      <c r="F211" s="4"/>
      <c r="G211" s="5" t="s">
        <v>690</v>
      </c>
      <c r="H211" s="4">
        <v>1</v>
      </c>
      <c r="I211" s="2" t="s">
        <v>691</v>
      </c>
      <c r="J211" s="4" t="s">
        <v>692</v>
      </c>
      <c r="K211" s="3" t="str">
        <f>HYPERLINK("https://www.google.com/maps/reviews/data=!4m8!14m7!1m6!2m5!1sChZDSUhNMG9nS0VJQ0FnSURBZ3ZhZmZREAE!2m1!1s0x0:0x40c8a36ccf6e362f!3m1!1s2@1:CIHM0ogKEICAgIDAgvaffQ%7C%7C?hl=en", "View Link")</f>
        <v>View Link</v>
      </c>
      <c r="L211" s="3"/>
    </row>
    <row r="212" spans="1:12" ht="20" customHeight="1">
      <c r="A212" s="2"/>
      <c r="B212" s="2"/>
      <c r="C212" s="2"/>
      <c r="D212" s="2"/>
      <c r="E212" s="3"/>
      <c r="F212" s="4"/>
      <c r="G212" s="5" t="s">
        <v>693</v>
      </c>
      <c r="H212" s="4">
        <v>1</v>
      </c>
      <c r="I212" s="2" t="s">
        <v>694</v>
      </c>
      <c r="J212" s="4" t="s">
        <v>695</v>
      </c>
      <c r="K212" s="3" t="str">
        <f>HYPERLINK("https://www.google.com/maps/reviews/data=!4m8!14m7!1m6!2m5!1sChdDSUhNMG9nS0VJQ0FnSUNZdklXTXBnRRAB!2m1!1s0x0:0x40c8a36ccf6e362f!3m1!1s2@1:CIHM0ogKEICAgICYvIWMpgE%7C%7C?hl=en", "View Link")</f>
        <v>View Link</v>
      </c>
      <c r="L212" s="3"/>
    </row>
    <row r="213" spans="1:12" ht="20" customHeight="1">
      <c r="A213" s="2"/>
      <c r="B213" s="2"/>
      <c r="C213" s="2"/>
      <c r="D213" s="2"/>
      <c r="E213" s="3"/>
      <c r="F213" s="4"/>
      <c r="G213" s="5" t="s">
        <v>696</v>
      </c>
      <c r="H213" s="4">
        <v>1</v>
      </c>
      <c r="I213" s="2" t="s">
        <v>697</v>
      </c>
      <c r="J213" s="4" t="s">
        <v>698</v>
      </c>
      <c r="K213" s="3" t="str">
        <f>HYPERLINK("https://www.google.com/maps/reviews/data=!4m8!14m7!1m6!2m5!1sChdDSUhNMG9nS0VJQ0FnSUN4b0pXbGpRRRAB!2m1!1s0x0:0x40c8a36ccf6e362f!3m1!1s2@1:CIHM0ogKEICAgICxoJWljQE%7C%7C?hl=en", "View Link")</f>
        <v>View Link</v>
      </c>
      <c r="L213" s="3"/>
    </row>
    <row r="214" spans="1:12" ht="20" customHeight="1">
      <c r="A214" s="2"/>
      <c r="B214" s="2"/>
      <c r="C214" s="2"/>
      <c r="D214" s="2"/>
      <c r="E214" s="3"/>
      <c r="F214" s="4"/>
      <c r="G214" s="5" t="s">
        <v>699</v>
      </c>
      <c r="H214" s="4">
        <v>1</v>
      </c>
      <c r="I214" s="2"/>
      <c r="J214" s="4" t="s">
        <v>700</v>
      </c>
      <c r="K214" s="3" t="str">
        <f>HYPERLINK("https://www.google.com/maps/reviews/data=!4m8!14m7!1m6!2m5!1sChZDSUhNMG9nS0VJQ0FnSUN4dzhqbERnEAE!2m1!1s0x0:0x40c8a36ccf6e362f!3m1!1s2@1:CIHM0ogKEICAgICxw8jlDg%7C%7C?hl=en", "View Link")</f>
        <v>View Link</v>
      </c>
      <c r="L214" s="3"/>
    </row>
    <row r="215" spans="1:12" ht="20" customHeight="1">
      <c r="A215" s="2"/>
      <c r="B215" s="2"/>
      <c r="C215" s="2"/>
      <c r="D215" s="2"/>
      <c r="E215" s="3"/>
      <c r="F215" s="4"/>
      <c r="G215" s="5" t="s">
        <v>701</v>
      </c>
      <c r="H215" s="4">
        <v>1</v>
      </c>
      <c r="I215" s="2"/>
      <c r="J215" s="4" t="s">
        <v>702</v>
      </c>
      <c r="K215" s="3" t="str">
        <f>HYPERLINK("https://www.google.com/maps/reviews/data=!4m8!14m7!1m6!2m5!1sChdDSUhNMG9nS0VJQ0FnSURBbGVId2lRRRAB!2m1!1s0x0:0x40c8a36ccf6e362f!3m1!1s2@1:CIHM0ogKEICAgIDAleHwiQE%7C%7C?hl=en", "View Link")</f>
        <v>View Link</v>
      </c>
      <c r="L215" s="3"/>
    </row>
    <row r="216" spans="1:12" ht="20" customHeight="1">
      <c r="A216" s="2"/>
      <c r="B216" s="2"/>
      <c r="C216" s="2"/>
      <c r="D216" s="2"/>
      <c r="E216" s="3"/>
      <c r="F216" s="4"/>
      <c r="G216" s="5" t="s">
        <v>703</v>
      </c>
      <c r="H216" s="4">
        <v>2</v>
      </c>
      <c r="I216" s="2" t="s">
        <v>704</v>
      </c>
      <c r="J216" s="4" t="s">
        <v>705</v>
      </c>
      <c r="K216" s="3" t="str">
        <f>HYPERLINK("https://www.google.com/maps/reviews/data=!4m8!14m7!1m6!2m5!1sChdDSUhNMG9nS0VJQ0FnSURJdUltWm5nRRAB!2m1!1s0x0:0x40c8a36ccf6e362f!3m1!1s2@1:CIHM0ogKEICAgIDIuImZngE%7C%7C?hl=en", "View Link")</f>
        <v>View Link</v>
      </c>
      <c r="L216" s="3"/>
    </row>
    <row r="217" spans="1:12" ht="20" customHeight="1">
      <c r="A217" s="2"/>
      <c r="B217" s="2"/>
      <c r="C217" s="2"/>
      <c r="D217" s="2"/>
      <c r="E217" s="3"/>
      <c r="F217" s="4"/>
      <c r="G217" s="5" t="s">
        <v>706</v>
      </c>
      <c r="H217" s="4">
        <v>2</v>
      </c>
      <c r="I217" s="2" t="s">
        <v>707</v>
      </c>
      <c r="J217" s="4" t="s">
        <v>708</v>
      </c>
      <c r="K217" s="3" t="str">
        <f>HYPERLINK("https://www.google.com/maps/reviews/data=!4m8!14m7!1m6!2m5!1sChZDSUhNMG9nS0VJQ0FnSUQ0N19PUENREAE!2m1!1s0x0:0x40c8a36ccf6e362f!3m1!1s2@1:CIHM0ogKEICAgID47_OPCQ%7C%7C?hl=en", "View Link")</f>
        <v>View Link</v>
      </c>
      <c r="L217" s="3"/>
    </row>
    <row r="218" spans="1:12" ht="20" customHeight="1">
      <c r="A218" s="2" t="s">
        <v>709</v>
      </c>
      <c r="B218" s="2" t="s">
        <v>710</v>
      </c>
      <c r="C218" s="2" t="s">
        <v>711</v>
      </c>
      <c r="D218" s="2" t="s">
        <v>712</v>
      </c>
      <c r="E218" s="3">
        <f>HYPERLINK("https://turoparkmedical.com/", "Visit Website")</f>
        <v>0</v>
      </c>
      <c r="F218" s="4">
        <v>4.4</v>
      </c>
      <c r="G218" s="5" t="s">
        <v>713</v>
      </c>
      <c r="H218" s="4">
        <v>1</v>
      </c>
      <c r="I218" s="2" t="s">
        <v>714</v>
      </c>
      <c r="J218" s="4" t="s">
        <v>715</v>
      </c>
      <c r="K218" s="3" t="str">
        <f>HYPERLINK("https://www.google.com/maps/reviews/data=!4m8!14m7!1m6!2m5!1sCi9DQUlRQUNvZENodHljRjlvT2s1TFozUTFOMFZrWjNJeWNrbzNjMkZHVUVvNWVXYxAB!2m1!1s0x0:0x926c0e6a2bbf0116!3m1!1s2@1:CAIQACodChtycF9oOk5LZ3Q1N0VkZ3Iycko3c2FGUEo5eWc%7C%7C?hl=en", "View Link")</f>
        <v>View Link</v>
      </c>
      <c r="L218" s="3">
        <f>HYPERLINK("https://www.google.com/maps/search/?api=1&amp;query=Tur%C3%B3%20Park%20Clinics%20%7C%20Cl%C3%ADniques%20M%C3%A8diques%20i%20Est%C3%A8tiques%20Internationals%20a%20Barcelona&amp;query_place_id=ChIJ9ao41nSZpBIRFgG_K2oObJI", "Open Map")</f>
        <v>0</v>
      </c>
    </row>
    <row r="219" spans="1:12" ht="20" customHeight="1">
      <c r="A219" s="2"/>
      <c r="B219" s="2"/>
      <c r="C219" s="2"/>
      <c r="D219" s="2"/>
      <c r="E219" s="3"/>
      <c r="F219" s="4"/>
      <c r="G219" s="5" t="s">
        <v>716</v>
      </c>
      <c r="H219" s="4">
        <v>1</v>
      </c>
      <c r="I219" s="2" t="s">
        <v>717</v>
      </c>
      <c r="J219" s="4" t="s">
        <v>718</v>
      </c>
      <c r="K219" s="3" t="str">
        <f>HYPERLINK("https://www.google.com/maps/reviews/data=!4m8!14m7!1m6!2m5!1sCi9DQUlRQUNvZENodHljRjlvT25OU2NFSnlhbTlKWlhwYU5WOW9kVjlzVGw5cVMxRRAB!2m1!1s0x0:0x926c0e6a2bbf0116!3m1!1s2@1:CAIQACodChtycF9oOnNScEJyam9JZXpaNV9odV9sTl9qS1E%7C%7C?hl=en", "View Link")</f>
        <v>View Link</v>
      </c>
      <c r="L219" s="3"/>
    </row>
    <row r="220" spans="1:12" ht="20" customHeight="1">
      <c r="A220" s="2"/>
      <c r="B220" s="2"/>
      <c r="C220" s="2"/>
      <c r="D220" s="2"/>
      <c r="E220" s="3"/>
      <c r="F220" s="4"/>
      <c r="G220" s="5" t="s">
        <v>719</v>
      </c>
      <c r="H220" s="4">
        <v>1</v>
      </c>
      <c r="I220" s="2" t="s">
        <v>720</v>
      </c>
      <c r="J220" s="4" t="s">
        <v>721</v>
      </c>
      <c r="K220" s="3" t="str">
        <f>HYPERLINK("https://www.google.com/maps/reviews/data=!4m8!14m7!1m6!2m5!1sCi9DQUlRQUNvZENodHljRjlvT21SRGVFdFlWbXhNUkRoSk1URkNaMTlwTVVaamJtYxAB!2m1!1s0x0:0x926c0e6a2bbf0116!3m1!1s2@1:CAIQACodChtycF9oOmRDeEtYVmxMRDhJMTFCZ19pMUZjbmc%7C%7C?hl=en", "View Link")</f>
        <v>View Link</v>
      </c>
      <c r="L220" s="3"/>
    </row>
    <row r="221" spans="1:12" ht="20" customHeight="1">
      <c r="A221" s="2"/>
      <c r="B221" s="2"/>
      <c r="C221" s="2"/>
      <c r="D221" s="2"/>
      <c r="E221" s="3"/>
      <c r="F221" s="4"/>
      <c r="G221" s="5" t="s">
        <v>722</v>
      </c>
      <c r="H221" s="4">
        <v>1</v>
      </c>
      <c r="I221" s="2" t="s">
        <v>723</v>
      </c>
      <c r="J221" s="4" t="s">
        <v>724</v>
      </c>
      <c r="K221" s="3" t="str">
        <f>HYPERLINK("https://www.google.com/maps/reviews/data=!4m8!14m7!1m6!2m5!1sCi9DQUlRQUNvZENodHljRjlvT2xSTlVGTlZkMlp4Y1V0cU9HazJhSFJ4ZEhJdGJGRRAB!2m1!1s0x0:0x926c0e6a2bbf0116!3m1!1s2@1:CAIQACodChtycF9oOlRNUFNVd2ZxcUtqOGk2aHRxdHItbFE%7C%7C?hl=en", "View Link")</f>
        <v>View Link</v>
      </c>
      <c r="L221" s="3"/>
    </row>
    <row r="222" spans="1:12" ht="20" customHeight="1">
      <c r="A222" s="2"/>
      <c r="B222" s="2"/>
      <c r="C222" s="2"/>
      <c r="D222" s="2"/>
      <c r="E222" s="3"/>
      <c r="F222" s="4"/>
      <c r="G222" s="5" t="s">
        <v>725</v>
      </c>
      <c r="H222" s="4">
        <v>1</v>
      </c>
      <c r="I222" s="2" t="s">
        <v>726</v>
      </c>
      <c r="J222" s="4" t="s">
        <v>727</v>
      </c>
      <c r="K222" s="3" t="str">
        <f>HYPERLINK("https://www.google.com/maps/reviews/data=!4m8!14m7!1m6!2m5!1sChZDSUhNMG9nS0VJQ0FnSUQxMHNXUmRREAE!2m1!1s0x0:0x926c0e6a2bbf0116!3m1!1s2@1:CIHM0ogKEICAgID10sWRdQ%7C%7C?hl=en", "View Link")</f>
        <v>View Link</v>
      </c>
      <c r="L222" s="3"/>
    </row>
    <row r="223" spans="1:12" ht="20" customHeight="1">
      <c r="A223" s="2"/>
      <c r="B223" s="2"/>
      <c r="C223" s="2"/>
      <c r="D223" s="2"/>
      <c r="E223" s="3"/>
      <c r="F223" s="4"/>
      <c r="G223" s="5" t="s">
        <v>728</v>
      </c>
      <c r="H223" s="4">
        <v>1</v>
      </c>
      <c r="I223" s="2" t="s">
        <v>729</v>
      </c>
      <c r="J223" s="4" t="s">
        <v>730</v>
      </c>
      <c r="K223" s="3" t="str">
        <f>HYPERLINK("https://www.google.com/maps/reviews/data=!4m8!14m7!1m6!2m5!1sCi9DQUlRQUNvZENodHljRjlvT2xGSVZtUkNZbFJ5TFVSSFprZzRNbWs1WTFKSFExRRAB!2m1!1s0x0:0x926c0e6a2bbf0116!3m1!1s2@1:CAIQACodChtycF9oOlFIVmRCYlRyLURHZkg4Mmk5Y1JHQ1E%7C%7C?hl=en", "View Link")</f>
        <v>View Link</v>
      </c>
      <c r="L223" s="3"/>
    </row>
    <row r="224" spans="1:12" ht="20" customHeight="1">
      <c r="A224" s="2"/>
      <c r="B224" s="2"/>
      <c r="C224" s="2"/>
      <c r="D224" s="2"/>
      <c r="E224" s="3"/>
      <c r="F224" s="4"/>
      <c r="G224" s="5" t="s">
        <v>731</v>
      </c>
      <c r="H224" s="4">
        <v>1</v>
      </c>
      <c r="I224" s="2" t="s">
        <v>732</v>
      </c>
      <c r="J224" s="4" t="s">
        <v>733</v>
      </c>
      <c r="K224" s="3" t="str">
        <f>HYPERLINK("https://www.google.com/maps/reviews/data=!4m8!14m7!1m6!2m5!1sCi9DQUlRQUNvZENodHljRjlvT25OeWFWUmhaVXhDUVZCVWNuaFFPV0ZLVW5SSWRuYxAB!2m1!1s0x0:0x926c0e6a2bbf0116!3m1!1s2@1:CAIQACodChtycF9oOnNyaVRhZUxCQVBUcnhQOWFKUnRIdnc%7C%7C?hl=en", "View Link")</f>
        <v>View Link</v>
      </c>
      <c r="L224" s="3"/>
    </row>
    <row r="225" spans="1:12" ht="20" customHeight="1">
      <c r="A225" s="2"/>
      <c r="B225" s="2"/>
      <c r="C225" s="2"/>
      <c r="D225" s="2"/>
      <c r="E225" s="3"/>
      <c r="F225" s="4"/>
      <c r="G225" s="5" t="s">
        <v>734</v>
      </c>
      <c r="H225" s="4">
        <v>1</v>
      </c>
      <c r="I225" s="2" t="s">
        <v>735</v>
      </c>
      <c r="J225" s="4" t="s">
        <v>736</v>
      </c>
      <c r="K225" s="3" t="str">
        <f>HYPERLINK("https://www.google.com/maps/reviews/data=!4m8!14m7!1m6!2m5!1sCi9DQUlRQUNvZENodHljRjlvT21oclpYZGtXR1JvZGxGM01tczFkazVPWlhaQ01tYxAB!2m1!1s0x0:0x926c0e6a2bbf0116!3m1!1s2@1:CAIQACodChtycF9oOmhrZXdkWGRodlF3Mms1dk5OZXZCMmc%7C%7C?hl=en", "View Link")</f>
        <v>View Link</v>
      </c>
      <c r="L225" s="3"/>
    </row>
    <row r="226" spans="1:12" ht="20" customHeight="1">
      <c r="A226" s="2"/>
      <c r="B226" s="2"/>
      <c r="C226" s="2"/>
      <c r="D226" s="2"/>
      <c r="E226" s="3"/>
      <c r="F226" s="4"/>
      <c r="G226" s="5" t="s">
        <v>737</v>
      </c>
      <c r="H226" s="4">
        <v>1</v>
      </c>
      <c r="I226" s="2" t="s">
        <v>738</v>
      </c>
      <c r="J226" s="4" t="s">
        <v>739</v>
      </c>
      <c r="K226" s="3" t="str">
        <f>HYPERLINK("https://www.google.com/maps/reviews/data=!4m8!14m7!1m6!2m5!1sCi9DQUlRQUNvZENodHljRjlvT2pkdVFsOXpOWEZHY2tSRFdHSm5jbmxhWmxaaWVFRRAB!2m1!1s0x0:0x926c0e6a2bbf0116!3m1!1s2@1:CAIQACodChtycF9oOjduQl9zNXFGckRDWGJncnlaZlZieEE%7C%7C?hl=en", "View Link")</f>
        <v>View Link</v>
      </c>
      <c r="L226" s="3"/>
    </row>
    <row r="227" spans="1:12" ht="20" customHeight="1">
      <c r="A227" s="2"/>
      <c r="B227" s="2"/>
      <c r="C227" s="2"/>
      <c r="D227" s="2"/>
      <c r="E227" s="3"/>
      <c r="F227" s="4"/>
      <c r="G227" s="5" t="s">
        <v>740</v>
      </c>
      <c r="H227" s="4">
        <v>1</v>
      </c>
      <c r="I227" s="2" t="s">
        <v>741</v>
      </c>
      <c r="J227" s="4" t="s">
        <v>742</v>
      </c>
      <c r="K227" s="3" t="str">
        <f>HYPERLINK("https://www.google.com/maps/reviews/data=!4m8!14m7!1m6!2m5!1sCi9DQUlRQUNvZENodHljRjlvT21sdGRHVnFNelJEVUhwTWRXeFZlV3BRV1VsdGIxRRAB!2m1!1s0x0:0x926c0e6a2bbf0116!3m1!1s2@1:CAIQACodChtycF9oOmltdGVqMzRDUHpMdWxVeWpQWUltb1E%7C%7C?hl=en", "View Link")</f>
        <v>View Link</v>
      </c>
      <c r="L227" s="3"/>
    </row>
    <row r="228" spans="1:12" ht="20" customHeight="1">
      <c r="A228" s="2"/>
      <c r="B228" s="2"/>
      <c r="C228" s="2"/>
      <c r="D228" s="2"/>
      <c r="E228" s="3"/>
      <c r="F228" s="4"/>
      <c r="G228" s="5" t="s">
        <v>743</v>
      </c>
      <c r="H228" s="4">
        <v>1</v>
      </c>
      <c r="I228" s="2" t="s">
        <v>744</v>
      </c>
      <c r="J228" s="4" t="s">
        <v>745</v>
      </c>
      <c r="K228" s="3" t="str">
        <f>HYPERLINK("https://www.google.com/maps/reviews/data=!4m8!14m7!1m6!2m5!1sChdDSUhNMG9nS0VLM2hrTHZPdExLenJnRRAB!2m1!1s0x0:0x926c0e6a2bbf0116!3m1!1s2@1:CIHM0ogKEK3hkLvOtLKzrgE%7C%7C?hl=en", "View Link")</f>
        <v>View Link</v>
      </c>
      <c r="L228" s="3"/>
    </row>
    <row r="229" spans="1:12" ht="20" customHeight="1">
      <c r="A229" s="2"/>
      <c r="B229" s="2"/>
      <c r="C229" s="2"/>
      <c r="D229" s="2"/>
      <c r="E229" s="3"/>
      <c r="F229" s="4"/>
      <c r="G229" s="5" t="s">
        <v>746</v>
      </c>
      <c r="H229" s="4">
        <v>1</v>
      </c>
      <c r="I229" s="2" t="s">
        <v>747</v>
      </c>
      <c r="J229" s="4" t="s">
        <v>748</v>
      </c>
      <c r="K229" s="3" t="str">
        <f>HYPERLINK("https://www.google.com/maps/reviews/data=!4m8!14m7!1m6!2m5!1sCi9DQUlRQUNvZENodHljRjlvT2sxVldGZzRWbWQ2ZFVsMVZGTTFSWHByWTNSS01tYxAB!2m1!1s0x0:0x926c0e6a2bbf0116!3m1!1s2@1:CAIQACodChtycF9oOk1VWFg4Vmd6dUl1VFM1RXprY3RKMmc%7C%7C?hl=en", "View Link")</f>
        <v>View Link</v>
      </c>
      <c r="L229" s="3"/>
    </row>
    <row r="230" spans="1:12" ht="20" customHeight="1">
      <c r="A230" s="2"/>
      <c r="B230" s="2"/>
      <c r="C230" s="2"/>
      <c r="D230" s="2"/>
      <c r="E230" s="3"/>
      <c r="F230" s="4"/>
      <c r="G230" s="5" t="s">
        <v>749</v>
      </c>
      <c r="H230" s="4">
        <v>1</v>
      </c>
      <c r="I230" s="2" t="s">
        <v>750</v>
      </c>
      <c r="J230" s="4" t="s">
        <v>751</v>
      </c>
      <c r="K230" s="3" t="str">
        <f>HYPERLINK("https://www.google.com/maps/reviews/data=!4m8!14m7!1m6!2m5!1sCi9DQUlRQUNvZENodHljRjlvT2tSeFIwRjFOelJmZDJoVlVuWk9jakZrU2psRVFuYxAB!2m1!1s0x0:0x926c0e6a2bbf0116!3m1!1s2@1:CAIQACodChtycF9oOkRxR0F1NzRfd2hVUnZOcjFkSjlEQnc%7C%7C?hl=en", "View Link")</f>
        <v>View Link</v>
      </c>
      <c r="L230" s="3"/>
    </row>
    <row r="231" spans="1:12" ht="20" customHeight="1">
      <c r="A231" s="2"/>
      <c r="B231" s="2"/>
      <c r="C231" s="2"/>
      <c r="D231" s="2"/>
      <c r="E231" s="3"/>
      <c r="F231" s="4"/>
      <c r="G231" s="5" t="s">
        <v>752</v>
      </c>
      <c r="H231" s="4">
        <v>1</v>
      </c>
      <c r="I231" s="2" t="s">
        <v>753</v>
      </c>
      <c r="J231" s="4" t="s">
        <v>754</v>
      </c>
      <c r="K231" s="3" t="str">
        <f>HYPERLINK("https://www.google.com/maps/reviews/data=!4m8!14m7!1m6!2m5!1sCi9DQUlRQUNvZENodHljRjlvT25GTlVqSXdRbFEwWm05cGEwVm9hRTVIUXpWdUxXYxAB!2m1!1s0x0:0x926c0e6a2bbf0116!3m1!1s2@1:CAIQACodChtycF9oOnFNUjIwQlQ0Zm9pa0VoaE5HQzVuLWc%7C%7C?hl=en", "View Link")</f>
        <v>View Link</v>
      </c>
      <c r="L231" s="3"/>
    </row>
    <row r="232" spans="1:12" ht="20" customHeight="1">
      <c r="A232" s="2"/>
      <c r="B232" s="2"/>
      <c r="C232" s="2"/>
      <c r="D232" s="2"/>
      <c r="E232" s="3"/>
      <c r="F232" s="4"/>
      <c r="G232" s="5" t="s">
        <v>755</v>
      </c>
      <c r="H232" s="4">
        <v>1</v>
      </c>
      <c r="I232" s="2" t="s">
        <v>756</v>
      </c>
      <c r="J232" s="4" t="s">
        <v>757</v>
      </c>
      <c r="K232" s="3" t="str">
        <f>HYPERLINK("https://www.google.com/maps/reviews/data=!4m8!14m7!1m6!2m5!1sChdDSUhNMG9nS0VJQ0FnTURvb19hcDVRRRAB!2m1!1s0x0:0x926c0e6a2bbf0116!3m1!1s2@1:CIHM0ogKEICAgMDoo_ap5QE%7C%7C?hl=en", "View Link")</f>
        <v>View Link</v>
      </c>
      <c r="L232" s="3"/>
    </row>
    <row r="233" spans="1:12" ht="20" customHeight="1">
      <c r="A233" s="2"/>
      <c r="B233" s="2"/>
      <c r="C233" s="2"/>
      <c r="D233" s="2"/>
      <c r="E233" s="3"/>
      <c r="F233" s="4"/>
      <c r="G233" s="5" t="s">
        <v>758</v>
      </c>
      <c r="H233" s="4">
        <v>1</v>
      </c>
      <c r="I233" s="2" t="s">
        <v>759</v>
      </c>
      <c r="J233" s="4" t="s">
        <v>760</v>
      </c>
      <c r="K233" s="3" t="str">
        <f>HYPERLINK("https://www.google.com/maps/reviews/data=!4m8!14m7!1m6!2m5!1sChdDSUhNMG9nS0VJQ0FnSUNMc1pqMnVnRRAB!2m1!1s0x0:0x926c0e6a2bbf0116!3m1!1s2@1:CIHM0ogKEICAgICLsZj2ugE%7C%7C?hl=en", "View Link")</f>
        <v>View Link</v>
      </c>
      <c r="L233" s="3"/>
    </row>
    <row r="234" spans="1:12" ht="20" customHeight="1">
      <c r="A234" s="2"/>
      <c r="B234" s="2"/>
      <c r="C234" s="2"/>
      <c r="D234" s="2"/>
      <c r="E234" s="3"/>
      <c r="F234" s="4"/>
      <c r="G234" s="5" t="s">
        <v>761</v>
      </c>
      <c r="H234" s="4">
        <v>1</v>
      </c>
      <c r="I234" s="2" t="s">
        <v>762</v>
      </c>
      <c r="J234" s="4" t="s">
        <v>763</v>
      </c>
      <c r="K234" s="3" t="str">
        <f>HYPERLINK("https://www.google.com/maps/reviews/data=!4m8!14m7!1m6!2m5!1sChdDSUhNMG9nS0VJQ0FnTUN3bHJ2Ui1BRRAB!2m1!1s0x0:0x926c0e6a2bbf0116!3m1!1s2@1:CIHM0ogKEICAgMCwlrvR-AE%7C%7C?hl=en", "View Link")</f>
        <v>View Link</v>
      </c>
      <c r="L234" s="3"/>
    </row>
    <row r="235" spans="1:12" ht="20" customHeight="1">
      <c r="A235" s="2"/>
      <c r="B235" s="2"/>
      <c r="C235" s="2"/>
      <c r="D235" s="2"/>
      <c r="E235" s="3"/>
      <c r="F235" s="4"/>
      <c r="G235" s="5" t="s">
        <v>764</v>
      </c>
      <c r="H235" s="4">
        <v>1</v>
      </c>
      <c r="I235" s="2" t="s">
        <v>765</v>
      </c>
      <c r="J235" s="4" t="s">
        <v>766</v>
      </c>
      <c r="K235" s="3" t="str">
        <f>HYPERLINK("https://www.google.com/maps/reviews/data=!4m8!14m7!1m6!2m5!1sChdDSUhNMG9nS0VJQ0FnSURkLThPeHVRRRAB!2m1!1s0x0:0x926c0e6a2bbf0116!3m1!1s2@1:CIHM0ogKEICAgIDd-8OxuQE%7C%7C?hl=en", "View Link")</f>
        <v>View Link</v>
      </c>
      <c r="L235" s="3"/>
    </row>
    <row r="236" spans="1:12" ht="20" customHeight="1">
      <c r="A236" s="2"/>
      <c r="B236" s="2"/>
      <c r="C236" s="2"/>
      <c r="D236" s="2"/>
      <c r="E236" s="3"/>
      <c r="F236" s="4"/>
      <c r="G236" s="5" t="s">
        <v>767</v>
      </c>
      <c r="H236" s="4">
        <v>1</v>
      </c>
      <c r="I236" s="2" t="s">
        <v>768</v>
      </c>
      <c r="J236" s="4" t="s">
        <v>769</v>
      </c>
      <c r="K236" s="3" t="str">
        <f>HYPERLINK("https://www.google.com/maps/reviews/data=!4m8!14m7!1m6!2m5!1sChZDSUhNMG9nS0VJQ0FnSUNac2NfdFRBEAE!2m1!1s0x0:0x926c0e6a2bbf0116!3m1!1s2@1:CIHM0ogKEICAgICZsc_tTA%7C%7C?hl=en", "View Link")</f>
        <v>View Link</v>
      </c>
      <c r="L236" s="3"/>
    </row>
    <row r="237" spans="1:12" ht="20" customHeight="1">
      <c r="A237" s="2"/>
      <c r="B237" s="2"/>
      <c r="C237" s="2"/>
      <c r="D237" s="2"/>
      <c r="E237" s="3"/>
      <c r="F237" s="4"/>
      <c r="G237" s="5" t="s">
        <v>770</v>
      </c>
      <c r="H237" s="4">
        <v>1</v>
      </c>
      <c r="I237" s="2" t="s">
        <v>771</v>
      </c>
      <c r="J237" s="4" t="s">
        <v>772</v>
      </c>
      <c r="K237" s="3" t="str">
        <f>HYPERLINK("https://www.google.com/maps/reviews/data=!4m8!14m7!1m6!2m5!1sChZDSUhNMG9nS0VJQ0FnSUR6bThxR2N3EAE!2m1!1s0x0:0x926c0e6a2bbf0116!3m1!1s2@1:CIHM0ogKEICAgIDzm8qGcw%7C%7C?hl=en", "View Link")</f>
        <v>View Link</v>
      </c>
      <c r="L237" s="3"/>
    </row>
    <row r="238" spans="1:12" ht="20" customHeight="1">
      <c r="A238" s="2" t="s">
        <v>773</v>
      </c>
      <c r="B238" s="2" t="s">
        <v>774</v>
      </c>
      <c r="C238" s="2" t="s">
        <v>775</v>
      </c>
      <c r="D238" s="2" t="s">
        <v>89</v>
      </c>
      <c r="E238" s="3">
        <f>HYPERLINK("http://www.clinicaoliveguma.es/", "Visit Website")</f>
        <v>0</v>
      </c>
      <c r="F238" s="4">
        <v>2.5</v>
      </c>
      <c r="G238" s="5" t="s">
        <v>776</v>
      </c>
      <c r="H238" s="4">
        <v>1</v>
      </c>
      <c r="I238" s="2" t="s">
        <v>777</v>
      </c>
      <c r="J238" s="4" t="s">
        <v>778</v>
      </c>
      <c r="K238" s="3" t="str">
        <f>HYPERLINK("https://www.google.com/maps/reviews/data=!4m8!14m7!1m6!2m5!1sCi9DQUlRQUNvZENodHljRjlvT25aaWJtaEZXREJ3WDNOSlREWmtVVmxYTTJwSE9HYxAB!2m1!1s0x0:0x60b1f6cfafbf393d!3m1!1s2@1:CAIQACodChtycF9oOnZibmhFWDBwX3NJTDZkUVlXM2pHOGc%7C%7C?hl=en", "View Link")</f>
        <v>View Link</v>
      </c>
      <c r="L238" s="3">
        <f>HYPERLINK("https://www.google.com/maps/search/?api=1&amp;query=Cl%C3%ADnica%20Oliv%C3%A9%20Gum%C3%A0&amp;query_place_id=ChIJK4K-TZSipBIRPTm_r8_2sWA", "Open Map")</f>
        <v>0</v>
      </c>
    </row>
    <row r="239" spans="1:12" ht="20" customHeight="1">
      <c r="A239" s="2"/>
      <c r="B239" s="2"/>
      <c r="C239" s="2"/>
      <c r="D239" s="2"/>
      <c r="E239" s="3"/>
      <c r="F239" s="4"/>
      <c r="G239" s="5" t="s">
        <v>779</v>
      </c>
      <c r="H239" s="4">
        <v>1</v>
      </c>
      <c r="I239" s="2" t="s">
        <v>780</v>
      </c>
      <c r="J239" s="4" t="s">
        <v>781</v>
      </c>
      <c r="K239" s="3" t="str">
        <f>HYPERLINK("https://www.google.com/maps/reviews/data=!4m8!14m7!1m6!2m5!1sChdDSUhNMG9nS0VJQ0FnSUNKN3Y2eDV3RRAB!2m1!1s0x0:0x60b1f6cfafbf393d!3m1!1s2@1:CIHM0ogKEICAgICJ7v6x5wE%7C%7C?hl=en", "View Link")</f>
        <v>View Link</v>
      </c>
      <c r="L239" s="3"/>
    </row>
    <row r="240" spans="1:12" ht="20" customHeight="1">
      <c r="A240" s="2"/>
      <c r="B240" s="2"/>
      <c r="C240" s="2"/>
      <c r="D240" s="2"/>
      <c r="E240" s="3"/>
      <c r="F240" s="4"/>
      <c r="G240" s="5" t="s">
        <v>782</v>
      </c>
      <c r="H240" s="4">
        <v>1</v>
      </c>
      <c r="I240" s="2" t="s">
        <v>783</v>
      </c>
      <c r="J240" s="4" t="s">
        <v>784</v>
      </c>
      <c r="K240" s="3" t="str">
        <f>HYPERLINK("https://www.google.com/maps/reviews/data=!4m8!14m7!1m6!2m5!1sCi9DQUlRQUNvZENodHljRjlvT21RdE1tVlNPVTB0ZG1welJHOTBjMDFHV1c1ZmJsRRAB!2m1!1s0x0:0x60b1f6cfafbf393d!3m1!1s2@1:CAIQACodChtycF9oOmQtMmVSOU0tdmpzRG90c01GWW5fblE%7C%7C?hl=en", "View Link")</f>
        <v>View Link</v>
      </c>
      <c r="L240" s="3"/>
    </row>
    <row r="241" spans="1:12" ht="20" customHeight="1">
      <c r="A241" s="2"/>
      <c r="B241" s="2"/>
      <c r="C241" s="2"/>
      <c r="D241" s="2"/>
      <c r="E241" s="3"/>
      <c r="F241" s="4"/>
      <c r="G241" s="5" t="s">
        <v>785</v>
      </c>
      <c r="H241" s="4">
        <v>1</v>
      </c>
      <c r="I241" s="2" t="s">
        <v>786</v>
      </c>
      <c r="J241" s="4" t="s">
        <v>787</v>
      </c>
      <c r="K241" s="3" t="str">
        <f>HYPERLINK("https://www.google.com/maps/reviews/data=!4m8!14m7!1m6!2m5!1sChZDSUhNMG9nS0VJQ0FnSURULU1yZlRREAE!2m1!1s0x0:0x60b1f6cfafbf393d!3m1!1s2@1:CIHM0ogKEICAgIDT-MrfTQ%7C%7C?hl=en", "View Link")</f>
        <v>View Link</v>
      </c>
      <c r="L241" s="3"/>
    </row>
    <row r="242" spans="1:12" ht="20" customHeight="1">
      <c r="A242" s="2"/>
      <c r="B242" s="2"/>
      <c r="C242" s="2"/>
      <c r="D242" s="2"/>
      <c r="E242" s="3"/>
      <c r="F242" s="4"/>
      <c r="G242" s="5" t="s">
        <v>788</v>
      </c>
      <c r="H242" s="4">
        <v>1</v>
      </c>
      <c r="I242" s="2" t="s">
        <v>789</v>
      </c>
      <c r="J242" s="4" t="s">
        <v>790</v>
      </c>
      <c r="K242" s="3" t="str">
        <f>HYPERLINK("https://www.google.com/maps/reviews/data=!4m8!14m7!1m6!2m5!1sChdDSUhNMG9nS0VJQ0FnSUNxNC1UbDZnRRAB!2m1!1s0x0:0x60b1f6cfafbf393d!3m1!1s2@1:CIHM0ogKEICAgICq4-Tl6gE%7C%7C?hl=en", "View Link")</f>
        <v>View Link</v>
      </c>
      <c r="L242" s="3"/>
    </row>
    <row r="243" spans="1:12" ht="20" customHeight="1">
      <c r="A243" s="2"/>
      <c r="B243" s="2"/>
      <c r="C243" s="2"/>
      <c r="D243" s="2"/>
      <c r="E243" s="3"/>
      <c r="F243" s="4"/>
      <c r="G243" s="5" t="s">
        <v>791</v>
      </c>
      <c r="H243" s="4">
        <v>1</v>
      </c>
      <c r="I243" s="2" t="s">
        <v>792</v>
      </c>
      <c r="J243" s="4" t="s">
        <v>793</v>
      </c>
      <c r="K243" s="3" t="str">
        <f>HYPERLINK("https://www.google.com/maps/reviews/data=!4m8!14m7!1m6!2m5!1sCi9DQUlRQUNvZENodHljRjlvT2xsRE1YcEhUMkZZY25sSVUwdHdlbFZhYzNBdFduYxAB!2m1!1s0x0:0x60b1f6cfafbf393d!3m1!1s2@1:CAIQACodChtycF9oOllDMXpHT2FYcnlIU0twelVac3AtWnc%7C%7C?hl=en", "View Link")</f>
        <v>View Link</v>
      </c>
      <c r="L243" s="3"/>
    </row>
    <row r="244" spans="1:12" ht="20" customHeight="1">
      <c r="A244" s="2"/>
      <c r="B244" s="2"/>
      <c r="C244" s="2"/>
      <c r="D244" s="2"/>
      <c r="E244" s="3"/>
      <c r="F244" s="4"/>
      <c r="G244" s="5" t="s">
        <v>794</v>
      </c>
      <c r="H244" s="4">
        <v>1</v>
      </c>
      <c r="I244" s="2" t="s">
        <v>795</v>
      </c>
      <c r="J244" s="4" t="s">
        <v>796</v>
      </c>
      <c r="K244" s="3" t="str">
        <f>HYPERLINK("https://www.google.com/maps/reviews/data=!4m8!14m7!1m6!2m5!1sChZDSUhNMG9nS0VJQ0FnSUNpMktqcUlREAE!2m1!1s0x0:0x60b1f6cfafbf393d!3m1!1s2@1:CIHM0ogKEICAgICi2KjqIQ%7C%7C?hl=en", "View Link")</f>
        <v>View Link</v>
      </c>
      <c r="L244" s="3"/>
    </row>
    <row r="245" spans="1:12" ht="20" customHeight="1">
      <c r="A245" s="2"/>
      <c r="B245" s="2"/>
      <c r="C245" s="2"/>
      <c r="D245" s="2"/>
      <c r="E245" s="3"/>
      <c r="F245" s="4"/>
      <c r="G245" s="5" t="s">
        <v>797</v>
      </c>
      <c r="H245" s="4">
        <v>1</v>
      </c>
      <c r="I245" s="2" t="s">
        <v>798</v>
      </c>
      <c r="J245" s="4" t="s">
        <v>799</v>
      </c>
      <c r="K245" s="3" t="str">
        <f>HYPERLINK("https://www.google.com/maps/reviews/data=!4m8!14m7!1m6!2m5!1sChZDSUhNMG9nS0VJQ0FnSUNtMTgzak1BEAE!2m1!1s0x0:0x60b1f6cfafbf393d!3m1!1s2@1:CIHM0ogKEICAgICm183jMA%7C%7C?hl=en", "View Link")</f>
        <v>View Link</v>
      </c>
      <c r="L245" s="3"/>
    </row>
    <row r="246" spans="1:12" ht="20" customHeight="1">
      <c r="A246" s="2"/>
      <c r="B246" s="2"/>
      <c r="C246" s="2"/>
      <c r="D246" s="2"/>
      <c r="E246" s="3"/>
      <c r="F246" s="4"/>
      <c r="G246" s="5" t="s">
        <v>800</v>
      </c>
      <c r="H246" s="4">
        <v>1</v>
      </c>
      <c r="I246" s="2" t="s">
        <v>801</v>
      </c>
      <c r="J246" s="4" t="s">
        <v>802</v>
      </c>
      <c r="K246" s="3" t="str">
        <f>HYPERLINK("https://www.google.com/maps/reviews/data=!4m8!14m7!1m6!2m5!1sChZDSUhNMG9nS0VJQ0FnSURLOXRxT1JREAE!2m1!1s0x0:0x60b1f6cfafbf393d!3m1!1s2@1:CIHM0ogKEICAgIDK9tqORQ%7C%7C?hl=en", "View Link")</f>
        <v>View Link</v>
      </c>
      <c r="L246" s="3"/>
    </row>
    <row r="247" spans="1:12" ht="20" customHeight="1">
      <c r="A247" s="2"/>
      <c r="B247" s="2"/>
      <c r="C247" s="2"/>
      <c r="D247" s="2"/>
      <c r="E247" s="3"/>
      <c r="F247" s="4"/>
      <c r="G247" s="5" t="s">
        <v>803</v>
      </c>
      <c r="H247" s="4">
        <v>1</v>
      </c>
      <c r="I247" s="2" t="s">
        <v>804</v>
      </c>
      <c r="J247" s="4" t="s">
        <v>805</v>
      </c>
      <c r="K247" s="3" t="str">
        <f>HYPERLINK("https://www.google.com/maps/reviews/data=!4m8!14m7!1m6!2m5!1sChZDSUhNMG9nS0VJQ0FnSUNSMkp1elpBEAE!2m1!1s0x0:0x60b1f6cfafbf393d!3m1!1s2@1:CIHM0ogKEICAgICR2JuzZA%7C%7C?hl=en", "View Link")</f>
        <v>View Link</v>
      </c>
      <c r="L247" s="3"/>
    </row>
    <row r="248" spans="1:12" ht="20" customHeight="1">
      <c r="A248" s="2"/>
      <c r="B248" s="2"/>
      <c r="C248" s="2"/>
      <c r="D248" s="2"/>
      <c r="E248" s="3"/>
      <c r="F248" s="4"/>
      <c r="G248" s="5" t="s">
        <v>806</v>
      </c>
      <c r="H248" s="4">
        <v>1</v>
      </c>
      <c r="I248" s="2" t="s">
        <v>807</v>
      </c>
      <c r="J248" s="4" t="s">
        <v>808</v>
      </c>
      <c r="K248" s="3" t="str">
        <f>HYPERLINK("https://www.google.com/maps/reviews/data=!4m8!14m7!1m6!2m5!1sChdDSUhNMG9nS0VJQ0FnSUNSMzhiaTVnRRAB!2m1!1s0x0:0x60b1f6cfafbf393d!3m1!1s2@1:CIHM0ogKEICAgICR38bi5gE%7C%7C?hl=en", "View Link")</f>
        <v>View Link</v>
      </c>
      <c r="L248" s="3"/>
    </row>
    <row r="249" spans="1:12" ht="20" customHeight="1">
      <c r="A249" s="2"/>
      <c r="B249" s="2"/>
      <c r="C249" s="2"/>
      <c r="D249" s="2"/>
      <c r="E249" s="3"/>
      <c r="F249" s="4"/>
      <c r="G249" s="5" t="s">
        <v>809</v>
      </c>
      <c r="H249" s="4">
        <v>1</v>
      </c>
      <c r="I249" s="2" t="s">
        <v>810</v>
      </c>
      <c r="J249" s="4" t="s">
        <v>811</v>
      </c>
      <c r="K249" s="3" t="str">
        <f>HYPERLINK("https://www.google.com/maps/reviews/data=!4m8!14m7!1m6!2m5!1sCi9DQUlRQUNvZENodHljRjlvT2pOcVNUUk5TVU5RTW1Kck5qVjNaRTFMVmpGWlZWRRAB!2m1!1s0x0:0x60b1f6cfafbf393d!3m1!1s2@1:CAIQACodChtycF9oOjNqSTRNSUNQMmJrNjV3ZE1LVjFZVVE%7C%7C?hl=en", "View Link")</f>
        <v>View Link</v>
      </c>
      <c r="L249" s="3"/>
    </row>
    <row r="250" spans="1:12" ht="20" customHeight="1">
      <c r="A250" s="2"/>
      <c r="B250" s="2"/>
      <c r="C250" s="2"/>
      <c r="D250" s="2"/>
      <c r="E250" s="3"/>
      <c r="F250" s="4"/>
      <c r="G250" s="5" t="s">
        <v>812</v>
      </c>
      <c r="H250" s="4">
        <v>1</v>
      </c>
      <c r="I250" s="2" t="s">
        <v>813</v>
      </c>
      <c r="J250" s="4" t="s">
        <v>814</v>
      </c>
      <c r="K250" s="3" t="str">
        <f>HYPERLINK("https://www.google.com/maps/reviews/data=!4m8!14m7!1m6!2m5!1sCi9DQUlRQUNvZENodHljRjlvT2xWelVqVlBZelZ2VVhSbFVIbFdPRnBMTkdsc1ZuYxAB!2m1!1s0x0:0x60b1f6cfafbf393d!3m1!1s2@1:CAIQACodChtycF9oOlVzUjVPYzVvUXRlUHlWOFpLNGlsVnc%7C%7C?hl=en", "View Link")</f>
        <v>View Link</v>
      </c>
      <c r="L250" s="3"/>
    </row>
    <row r="251" spans="1:12" ht="20" customHeight="1">
      <c r="A251" s="2"/>
      <c r="B251" s="2"/>
      <c r="C251" s="2"/>
      <c r="D251" s="2"/>
      <c r="E251" s="3"/>
      <c r="F251" s="4"/>
      <c r="G251" s="5" t="s">
        <v>815</v>
      </c>
      <c r="H251" s="4">
        <v>1</v>
      </c>
      <c r="I251" s="2" t="s">
        <v>816</v>
      </c>
      <c r="J251" s="4" t="s">
        <v>817</v>
      </c>
      <c r="K251" s="3" t="str">
        <f>HYPERLINK("https://www.google.com/maps/reviews/data=!4m8!14m7!1m6!2m5!1sCi9DQUlRQUNvZENodHljRjlvT214SmNFRXlNV3BVWXpOT1RUQkJMVlE1VGxkR0xYYxAB!2m1!1s0x0:0x60b1f6cfafbf393d!3m1!1s2@1:CAIQACodChtycF9oOmxJcEEyMWpUYzNOTTBBLVQ5TldGLXc%7C%7C?hl=en", "View Link")</f>
        <v>View Link</v>
      </c>
      <c r="L251" s="3"/>
    </row>
    <row r="252" spans="1:12" ht="20" customHeight="1">
      <c r="A252" s="2"/>
      <c r="B252" s="2"/>
      <c r="C252" s="2"/>
      <c r="D252" s="2"/>
      <c r="E252" s="3"/>
      <c r="F252" s="4"/>
      <c r="G252" s="5" t="s">
        <v>818</v>
      </c>
      <c r="H252" s="4">
        <v>1</v>
      </c>
      <c r="I252" s="2" t="s">
        <v>819</v>
      </c>
      <c r="J252" s="4" t="s">
        <v>820</v>
      </c>
      <c r="K252" s="3" t="str">
        <f>HYPERLINK("https://www.google.com/maps/reviews/data=!4m8!14m7!1m6!2m5!1sCi9DQUlRQUNvZENodHljRjlvT214WWEwUnVSRFEyZUdnNVJYRjVXRUZ2YW5GWWVXYxAB!2m1!1s0x0:0x60b1f6cfafbf393d!3m1!1s2@1:CAIQACodChtycF9oOmxYa0RuRDQ2eGg5RXF5WEFvanFYeWc%7C%7C?hl=en", "View Link")</f>
        <v>View Link</v>
      </c>
      <c r="L252" s="3"/>
    </row>
    <row r="253" spans="1:12" ht="20" customHeight="1">
      <c r="A253" s="2"/>
      <c r="B253" s="2"/>
      <c r="C253" s="2"/>
      <c r="D253" s="2"/>
      <c r="E253" s="3"/>
      <c r="F253" s="4"/>
      <c r="G253" s="5" t="s">
        <v>821</v>
      </c>
      <c r="H253" s="4">
        <v>1</v>
      </c>
      <c r="I253" s="2" t="s">
        <v>822</v>
      </c>
      <c r="J253" s="4" t="s">
        <v>823</v>
      </c>
      <c r="K253" s="3" t="str">
        <f>HYPERLINK("https://www.google.com/maps/reviews/data=!4m8!14m7!1m6!2m5!1sCi9DQUlRQUNvZENodHljRjlvT2tWak1HcHllbm80VXpkeFREVlFXV3hwUkhwek5WRRAB!2m1!1s0x0:0x60b1f6cfafbf393d!3m1!1s2@1:CAIQACodChtycF9oOkVjMGpyeno4UzdxTDVQWWxpRHpzNVE%7C%7C?hl=en", "View Link")</f>
        <v>View Link</v>
      </c>
      <c r="L253" s="3"/>
    </row>
    <row r="254" spans="1:12" ht="20" customHeight="1">
      <c r="A254" s="2"/>
      <c r="B254" s="2"/>
      <c r="C254" s="2"/>
      <c r="D254" s="2"/>
      <c r="E254" s="3"/>
      <c r="F254" s="4"/>
      <c r="G254" s="5" t="s">
        <v>824</v>
      </c>
      <c r="H254" s="4">
        <v>1</v>
      </c>
      <c r="I254" s="2" t="s">
        <v>825</v>
      </c>
      <c r="J254" s="4" t="s">
        <v>826</v>
      </c>
      <c r="K254" s="3" t="str">
        <f>HYPERLINK("https://www.google.com/maps/reviews/data=!4m8!14m7!1m6!2m5!1sCi9DQUlRQUNvZENodHljRjlvT2tGQlltMU9iRWt0YW5ZMVZGZGxiSGhLZFZWbGFtYxAB!2m1!1s0x0:0x60b1f6cfafbf393d!3m1!1s2@1:CAIQACodChtycF9oOkFBYm1ObEktanY1VFdlbHhKdVVlamc%7C%7C?hl=en", "View Link")</f>
        <v>View Link</v>
      </c>
      <c r="L254" s="3"/>
    </row>
    <row r="255" spans="1:12" ht="20" customHeight="1">
      <c r="A255" s="2"/>
      <c r="B255" s="2"/>
      <c r="C255" s="2"/>
      <c r="D255" s="2"/>
      <c r="E255" s="3"/>
      <c r="F255" s="4"/>
      <c r="G255" s="5" t="s">
        <v>827</v>
      </c>
      <c r="H255" s="4">
        <v>1</v>
      </c>
      <c r="I255" s="2" t="s">
        <v>828</v>
      </c>
      <c r="J255" s="4" t="s">
        <v>829</v>
      </c>
      <c r="K255" s="3" t="str">
        <f>HYPERLINK("https://www.google.com/maps/reviews/data=!4m8!14m7!1m6!2m5!1sCi9DQUlRQUNvZENodHljRjlvT210UE1GOHlZblJOYmxWV2IyOVBXRVpXUlhrMGIwRRAB!2m1!1s0x0:0x60b1f6cfafbf393d!3m1!1s2@1:CAIQACodChtycF9oOmtPMF8yYnRNblVWb29PWEZWRXk0b0E%7C%7C?hl=en", "View Link")</f>
        <v>View Link</v>
      </c>
      <c r="L255" s="3"/>
    </row>
    <row r="256" spans="1:12" ht="20" customHeight="1">
      <c r="A256" s="2"/>
      <c r="B256" s="2"/>
      <c r="C256" s="2"/>
      <c r="D256" s="2"/>
      <c r="E256" s="3"/>
      <c r="F256" s="4"/>
      <c r="G256" s="5" t="s">
        <v>830</v>
      </c>
      <c r="H256" s="4">
        <v>1</v>
      </c>
      <c r="I256" s="2" t="s">
        <v>831</v>
      </c>
      <c r="J256" s="4" t="s">
        <v>832</v>
      </c>
      <c r="K256" s="3" t="str">
        <f>HYPERLINK("https://www.google.com/maps/reviews/data=!4m8!14m7!1m6!2m5!1sCi9DQUlRQUNvZENodHljRjlvT25OdU1rVjFSRGh6TWpZNWFFVXphRVJJTFZBeVprRRAB!2m1!1s0x0:0x60b1f6cfafbf393d!3m1!1s2@1:CAIQACodChtycF9oOnNuMkV1RDhzMjY5aEUzaERILVAyZkE%7C%7C?hl=en", "View Link")</f>
        <v>View Link</v>
      </c>
      <c r="L256" s="3"/>
    </row>
    <row r="257" spans="1:12" ht="20" customHeight="1">
      <c r="A257" s="2"/>
      <c r="B257" s="2"/>
      <c r="C257" s="2"/>
      <c r="D257" s="2"/>
      <c r="E257" s="3"/>
      <c r="F257" s="4"/>
      <c r="G257" s="5" t="s">
        <v>833</v>
      </c>
      <c r="H257" s="4">
        <v>1</v>
      </c>
      <c r="I257" s="2" t="s">
        <v>834</v>
      </c>
      <c r="J257" s="4" t="s">
        <v>835</v>
      </c>
      <c r="K257" s="3" t="str">
        <f>HYPERLINK("https://www.google.com/maps/reviews/data=!4m8!14m7!1m6!2m5!1sCi9DQUlRQUNvZENodHljRjlvT2pOQ1J6SjFaSGhhZGxGek0wVk5jbWhQWXpaVE1XYxAB!2m1!1s0x0:0x60b1f6cfafbf393d!3m1!1s2@1:CAIQACodChtycF9oOjNCRzJ1ZHhadlFzM0VNcmhPYzZTMWc%7C%7C?hl=en", "View Link")</f>
        <v>View Link</v>
      </c>
      <c r="L257" s="3"/>
    </row>
    <row r="258" spans="1:12" ht="20" customHeight="1">
      <c r="A258" s="2" t="s">
        <v>836</v>
      </c>
      <c r="B258" s="2" t="s">
        <v>837</v>
      </c>
      <c r="C258" s="2" t="s">
        <v>838</v>
      </c>
      <c r="D258" s="2" t="s">
        <v>839</v>
      </c>
      <c r="E258" s="3">
        <f>HYPERLINK("http://www.clinicadermagranada.es/", "Visit Website")</f>
        <v>0</v>
      </c>
      <c r="F258" s="4">
        <v>3.4</v>
      </c>
      <c r="G258" s="5" t="s">
        <v>840</v>
      </c>
      <c r="H258" s="4">
        <v>1</v>
      </c>
      <c r="I258" s="2" t="s">
        <v>841</v>
      </c>
      <c r="J258" s="4" t="s">
        <v>842</v>
      </c>
      <c r="K258" s="3" t="str">
        <f>HYPERLINK("https://www.google.com/maps/reviews/data=!4m8!14m7!1m6!2m5!1sCi9DQUlRQUNvZENodHljRjlvT2xsaFFVUmhiR1pZUVhkdlZVUjZaQzA1VUVsU2VHYxAB!2m1!1s0x0:0x69a44f6328ec207f!3m1!1s2@1:CAIQACodChtycF9oOllhQURhbGZYQXdvVUR6ZC05UElSeGc%7C%7C?hl=en", "View Link")</f>
        <v>View Link</v>
      </c>
      <c r="L258" s="3">
        <f>HYPERLINK("https://www.google.com/maps/search/?api=1&amp;query=Granada%20Dermatology%20Clinic&amp;query_place_id=ChIJRQx5l5P8cQ0RfyDsKGNPpGk", "Open Map")</f>
        <v>0</v>
      </c>
    </row>
    <row r="259" spans="1:12" ht="20" customHeight="1">
      <c r="A259" s="2"/>
      <c r="B259" s="2"/>
      <c r="C259" s="2"/>
      <c r="D259" s="2"/>
      <c r="E259" s="3"/>
      <c r="F259" s="4"/>
      <c r="G259" s="5" t="s">
        <v>843</v>
      </c>
      <c r="H259" s="4">
        <v>1</v>
      </c>
      <c r="I259" s="2" t="s">
        <v>844</v>
      </c>
      <c r="J259" s="4" t="s">
        <v>845</v>
      </c>
      <c r="K259" s="3" t="str">
        <f>HYPERLINK("https://www.google.com/maps/reviews/data=!4m8!14m7!1m6!2m5!1sCi9DQUlRQUNvZENodHljRjlvT2xCT2JFNVJaV0ZZVXpOWmFsRkNVMXBOY0Y5bU0yYxAB!2m1!1s0x0:0x69a44f6328ec207f!3m1!1s2@1:CAIQACodChtycF9oOlBObE5RZWFYUzNZalFCU1pNcF9mM2c%7C%7C?hl=en", "View Link")</f>
        <v>View Link</v>
      </c>
      <c r="L259" s="3"/>
    </row>
    <row r="260" spans="1:12" ht="20" customHeight="1">
      <c r="A260" s="2"/>
      <c r="B260" s="2"/>
      <c r="C260" s="2"/>
      <c r="D260" s="2"/>
      <c r="E260" s="3"/>
      <c r="F260" s="4"/>
      <c r="G260" s="5" t="s">
        <v>846</v>
      </c>
      <c r="H260" s="4">
        <v>1</v>
      </c>
      <c r="I260" s="2" t="s">
        <v>847</v>
      </c>
      <c r="J260" s="4" t="s">
        <v>848</v>
      </c>
      <c r="K260" s="3" t="str">
        <f>HYPERLINK("https://www.google.com/maps/reviews/data=!4m8!14m7!1m6!2m5!1sCi9DQUlRQUNvZENodHljRjlvT2w5SlVVZHJSbEkyZWtwNU5FTTRaV2RaUm14NVprRRAB!2m1!1s0x0:0x69a44f6328ec207f!3m1!1s2@1:CAIQACodChtycF9oOl9JUUdrRlI2ekp5NEM4ZWdZRmx5ZkE%7C%7C?hl=en", "View Link")</f>
        <v>View Link</v>
      </c>
      <c r="L260" s="3"/>
    </row>
    <row r="261" spans="1:12" ht="20" customHeight="1">
      <c r="A261" s="2"/>
      <c r="B261" s="2"/>
      <c r="C261" s="2"/>
      <c r="D261" s="2"/>
      <c r="E261" s="3"/>
      <c r="F261" s="4"/>
      <c r="G261" s="5" t="s">
        <v>849</v>
      </c>
      <c r="H261" s="4">
        <v>1</v>
      </c>
      <c r="I261" s="2" t="s">
        <v>850</v>
      </c>
      <c r="J261" s="4" t="s">
        <v>851</v>
      </c>
      <c r="K261" s="3" t="str">
        <f>HYPERLINK("https://www.google.com/maps/reviews/data=!4m8!14m7!1m6!2m5!1sCi9DQUlRQUNvZENodHljRjlvT2twNlVXTjJUbHBHTms0eFVHVkNXVkp0YkdWQlZVRRAB!2m1!1s0x0:0x69a44f6328ec207f!3m1!1s2@1:CAIQACodChtycF9oOkp6UWN2TlpGNk4xUGVCWVJtbGVBVUE%7C%7C?hl=en", "View Link")</f>
        <v>View Link</v>
      </c>
      <c r="L261" s="3"/>
    </row>
    <row r="262" spans="1:12" ht="20" customHeight="1">
      <c r="A262" s="2"/>
      <c r="B262" s="2"/>
      <c r="C262" s="2"/>
      <c r="D262" s="2"/>
      <c r="E262" s="3"/>
      <c r="F262" s="4"/>
      <c r="G262" s="5" t="s">
        <v>852</v>
      </c>
      <c r="H262" s="4">
        <v>1</v>
      </c>
      <c r="I262" s="2" t="s">
        <v>853</v>
      </c>
      <c r="J262" s="4" t="s">
        <v>854</v>
      </c>
      <c r="K262" s="3" t="str">
        <f>HYPERLINK("https://www.google.com/maps/reviews/data=!4m8!14m7!1m6!2m5!1sCi9DQUlRQUNvZENodHljRjlvT25welgyUm1kRnBpVUMwME1VVklRMjV0TFZwb05HYxAB!2m1!1s0x0:0x69a44f6328ec207f!3m1!1s2@1:CAIQACodChtycF9oOnpzX2RmdFpiUC00MUVIQ25tLVpoNGc%7C%7C?hl=en", "View Link")</f>
        <v>View Link</v>
      </c>
      <c r="L262" s="3"/>
    </row>
    <row r="263" spans="1:12" ht="20" customHeight="1">
      <c r="A263" s="2"/>
      <c r="B263" s="2"/>
      <c r="C263" s="2"/>
      <c r="D263" s="2"/>
      <c r="E263" s="3"/>
      <c r="F263" s="4"/>
      <c r="G263" s="5" t="s">
        <v>855</v>
      </c>
      <c r="H263" s="4">
        <v>1</v>
      </c>
      <c r="I263" s="2" t="s">
        <v>856</v>
      </c>
      <c r="J263" s="4" t="s">
        <v>857</v>
      </c>
      <c r="K263" s="3" t="str">
        <f>HYPERLINK("https://www.google.com/maps/reviews/data=!4m8!14m7!1m6!2m5!1sCi9DQUlRQUNvZENodHljRjlvT25VMVVtOHpORGRJTkZoSU5YWnJOREp1TFcxcVJrRRAB!2m1!1s0x0:0x69a44f6328ec207f!3m1!1s2@1:CAIQACodChtycF9oOnU1Um8zNDdINFhINXZrNDJuLW1qRkE%7C%7C?hl=en", "View Link")</f>
        <v>View Link</v>
      </c>
      <c r="L263" s="3"/>
    </row>
    <row r="264" spans="1:12" ht="20" customHeight="1">
      <c r="A264" s="2"/>
      <c r="B264" s="2"/>
      <c r="C264" s="2"/>
      <c r="D264" s="2"/>
      <c r="E264" s="3"/>
      <c r="F264" s="4"/>
      <c r="G264" s="5" t="s">
        <v>858</v>
      </c>
      <c r="H264" s="4">
        <v>1</v>
      </c>
      <c r="I264" s="2" t="s">
        <v>859</v>
      </c>
      <c r="J264" s="4" t="s">
        <v>860</v>
      </c>
      <c r="K264" s="3" t="str">
        <f>HYPERLINK("https://www.google.com/maps/reviews/data=!4m8!14m7!1m6!2m5!1sCi9DQUlRQUNvZENodHljRjlvT2paRExXWmFUM2xKVVZveE1XRjBORkZvWkhKWk9YYxAB!2m1!1s0x0:0x69a44f6328ec207f!3m1!1s2@1:CAIQACodChtycF9oOjZDLWZaT3lJUVoxMWF0NFFoZHJZOXc%7C%7C?hl=en", "View Link")</f>
        <v>View Link</v>
      </c>
      <c r="L264" s="3"/>
    </row>
    <row r="265" spans="1:12" ht="20" customHeight="1">
      <c r="A265" s="2"/>
      <c r="B265" s="2"/>
      <c r="C265" s="2"/>
      <c r="D265" s="2"/>
      <c r="E265" s="3"/>
      <c r="F265" s="4"/>
      <c r="G265" s="5" t="s">
        <v>861</v>
      </c>
      <c r="H265" s="4">
        <v>1</v>
      </c>
      <c r="I265" s="2" t="s">
        <v>862</v>
      </c>
      <c r="J265" s="4" t="s">
        <v>863</v>
      </c>
      <c r="K265" s="3" t="str">
        <f>HYPERLINK("https://www.google.com/maps/reviews/data=!4m8!14m7!1m6!2m5!1sChdDSUhNMG9nS0VJQ0FnTUNZLWRfdXBRRRAB!2m1!1s0x0:0x69a44f6328ec207f!3m1!1s2@1:CIHM0ogKEICAgMCY-d_upQE%7C%7C?hl=en", "View Link")</f>
        <v>View Link</v>
      </c>
      <c r="L265" s="3"/>
    </row>
    <row r="266" spans="1:12" ht="20" customHeight="1">
      <c r="A266" s="2"/>
      <c r="B266" s="2"/>
      <c r="C266" s="2"/>
      <c r="D266" s="2"/>
      <c r="E266" s="3"/>
      <c r="F266" s="4"/>
      <c r="G266" s="5" t="s">
        <v>864</v>
      </c>
      <c r="H266" s="4">
        <v>1</v>
      </c>
      <c r="I266" s="2" t="s">
        <v>865</v>
      </c>
      <c r="J266" s="4" t="s">
        <v>866</v>
      </c>
      <c r="K266" s="3" t="str">
        <f>HYPERLINK("https://www.google.com/maps/reviews/data=!4m8!14m7!1m6!2m5!1sChZDSUhNMG9nS0VJQ0FnTUR3cXZfRld3EAE!2m1!1s0x0:0x69a44f6328ec207f!3m1!1s2@1:CIHM0ogKEICAgMDwqv_FWw%7C%7C?hl=en", "View Link")</f>
        <v>View Link</v>
      </c>
      <c r="L266" s="3"/>
    </row>
    <row r="267" spans="1:12" ht="20" customHeight="1">
      <c r="A267" s="2"/>
      <c r="B267" s="2"/>
      <c r="C267" s="2"/>
      <c r="D267" s="2"/>
      <c r="E267" s="3"/>
      <c r="F267" s="4"/>
      <c r="G267" s="5" t="s">
        <v>867</v>
      </c>
      <c r="H267" s="4">
        <v>1</v>
      </c>
      <c r="I267" s="2" t="s">
        <v>868</v>
      </c>
      <c r="J267" s="4" t="s">
        <v>869</v>
      </c>
      <c r="K267" s="3" t="str">
        <f>HYPERLINK("https://www.google.com/maps/reviews/data=!4m8!14m7!1m6!2m5!1sCi9DQUlRQUNvZENodHljRjlvT2tGNlZHVnRSa0pxVEhVM2FIQlpZbmhQYm14cU0xRRAB!2m1!1s0x0:0x69a44f6328ec207f!3m1!1s2@1:CAIQACodChtycF9oOkF6VGVtRkJqTHU3aHBZYnhPbmxqM1E%7C%7C?hl=en", "View Link")</f>
        <v>View Link</v>
      </c>
      <c r="L267" s="3"/>
    </row>
    <row r="268" spans="1:12" ht="20" customHeight="1">
      <c r="A268" s="2"/>
      <c r="B268" s="2"/>
      <c r="C268" s="2"/>
      <c r="D268" s="2"/>
      <c r="E268" s="3"/>
      <c r="F268" s="4"/>
      <c r="G268" s="5" t="s">
        <v>870</v>
      </c>
      <c r="H268" s="4">
        <v>1</v>
      </c>
      <c r="I268" s="2" t="s">
        <v>871</v>
      </c>
      <c r="J268" s="4" t="s">
        <v>872</v>
      </c>
      <c r="K268" s="3" t="str">
        <f>HYPERLINK("https://www.google.com/maps/reviews/data=!4m8!14m7!1m6!2m5!1sChZDSUhNMG9nS0VJQ0FnTURvOE9XOU5nEAE!2m1!1s0x0:0x69a44f6328ec207f!3m1!1s2@1:CIHM0ogKEICAgMDo8OW9Ng%7C%7C?hl=en", "View Link")</f>
        <v>View Link</v>
      </c>
      <c r="L268" s="3"/>
    </row>
    <row r="269" spans="1:12" ht="20" customHeight="1">
      <c r="A269" s="2"/>
      <c r="B269" s="2"/>
      <c r="C269" s="2"/>
      <c r="D269" s="2"/>
      <c r="E269" s="3"/>
      <c r="F269" s="4"/>
      <c r="G269" s="5" t="s">
        <v>873</v>
      </c>
      <c r="H269" s="4">
        <v>1</v>
      </c>
      <c r="I269" s="2" t="s">
        <v>874</v>
      </c>
      <c r="J269" s="4" t="s">
        <v>875</v>
      </c>
      <c r="K269" s="3" t="str">
        <f>HYPERLINK("https://www.google.com/maps/reviews/data=!4m8!14m7!1m6!2m5!1sChdDSUhNMG9nS0VJQ0FnTURvaGRfbWlRRRAB!2m1!1s0x0:0x69a44f6328ec207f!3m1!1s2@1:CIHM0ogKEICAgMDohd_miQE%7C%7C?hl=en", "View Link")</f>
        <v>View Link</v>
      </c>
      <c r="L269" s="3"/>
    </row>
    <row r="270" spans="1:12" ht="20" customHeight="1">
      <c r="A270" s="2"/>
      <c r="B270" s="2"/>
      <c r="C270" s="2"/>
      <c r="D270" s="2"/>
      <c r="E270" s="3"/>
      <c r="F270" s="4"/>
      <c r="G270" s="5" t="s">
        <v>876</v>
      </c>
      <c r="H270" s="4">
        <v>1</v>
      </c>
      <c r="I270" s="2" t="s">
        <v>877</v>
      </c>
      <c r="J270" s="4" t="s">
        <v>878</v>
      </c>
      <c r="K270" s="3" t="str">
        <f>HYPERLINK("https://www.google.com/maps/reviews/data=!4m8!14m7!1m6!2m5!1sCi9DQUlRQUNvZENodHljRjlvT2xCT2VqQjFhall3Y2xsSGVFaG1kbWxwU1VoTk4wRRAB!2m1!1s0x0:0x69a44f6328ec207f!3m1!1s2@1:CAIQACodChtycF9oOlBOejB1ajYwcllHeEhmdmlpSUhNN0E%7C%7C?hl=en", "View Link")</f>
        <v>View Link</v>
      </c>
      <c r="L270" s="3"/>
    </row>
    <row r="271" spans="1:12" ht="20" customHeight="1">
      <c r="A271" s="2"/>
      <c r="B271" s="2"/>
      <c r="C271" s="2"/>
      <c r="D271" s="2"/>
      <c r="E271" s="3"/>
      <c r="F271" s="4"/>
      <c r="G271" s="5" t="s">
        <v>879</v>
      </c>
      <c r="H271" s="4">
        <v>1</v>
      </c>
      <c r="I271" s="2" t="s">
        <v>880</v>
      </c>
      <c r="J271" s="4" t="s">
        <v>881</v>
      </c>
      <c r="K271" s="3" t="str">
        <f>HYPERLINK("https://www.google.com/maps/reviews/data=!4m8!14m7!1m6!2m5!1sChdDSUhNMG9nS0VJQ0FnTUNneV9Ham13RRAB!2m1!1s0x0:0x69a44f6328ec207f!3m1!1s2@1:CIHM0ogKEICAgMCgy_GjmwE%7C%7C?hl=en", "View Link")</f>
        <v>View Link</v>
      </c>
      <c r="L271" s="3"/>
    </row>
    <row r="272" spans="1:12" ht="20" customHeight="1">
      <c r="A272" s="2"/>
      <c r="B272" s="2"/>
      <c r="C272" s="2"/>
      <c r="D272" s="2"/>
      <c r="E272" s="3"/>
      <c r="F272" s="4"/>
      <c r="G272" s="5" t="s">
        <v>882</v>
      </c>
      <c r="H272" s="4">
        <v>1</v>
      </c>
      <c r="I272" s="2" t="s">
        <v>883</v>
      </c>
      <c r="J272" s="4" t="s">
        <v>884</v>
      </c>
      <c r="K272" s="3" t="str">
        <f>HYPERLINK("https://www.google.com/maps/reviews/data=!4m8!14m7!1m6!2m5!1sCi9DQUlRQUNvZENodHljRjlvT2xsTE1WTnNUVmxZVUVnM01XdHdRVlpsZGxsTlQyYxAB!2m1!1s0x0:0x69a44f6328ec207f!3m1!1s2@1:CAIQACodChtycF9oOllLMVNsTVlYUEg3MWtwQVZldllNT2c%7C%7C?hl=en", "View Link")</f>
        <v>View Link</v>
      </c>
      <c r="L272" s="3"/>
    </row>
    <row r="273" spans="1:12" ht="20" customHeight="1">
      <c r="A273" s="2"/>
      <c r="B273" s="2"/>
      <c r="C273" s="2"/>
      <c r="D273" s="2"/>
      <c r="E273" s="3"/>
      <c r="F273" s="4"/>
      <c r="G273" s="5" t="s">
        <v>885</v>
      </c>
      <c r="H273" s="4">
        <v>1</v>
      </c>
      <c r="I273" s="2" t="s">
        <v>886</v>
      </c>
      <c r="J273" s="4" t="s">
        <v>887</v>
      </c>
      <c r="K273" s="3" t="str">
        <f>HYPERLINK("https://www.google.com/maps/reviews/data=!4m8!14m7!1m6!2m5!1sChdDSUhNMG9nS0VJQ0FnSURQOE82MmdBRRAB!2m1!1s0x0:0x69a44f6328ec207f!3m1!1s2@1:CIHM0ogKEICAgIDP8O62gAE%7C%7C?hl=en", "View Link")</f>
        <v>View Link</v>
      </c>
      <c r="L273" s="3"/>
    </row>
    <row r="274" spans="1:12" ht="20" customHeight="1">
      <c r="A274" s="2"/>
      <c r="B274" s="2"/>
      <c r="C274" s="2"/>
      <c r="D274" s="2"/>
      <c r="E274" s="3"/>
      <c r="F274" s="4"/>
      <c r="G274" s="5" t="s">
        <v>888</v>
      </c>
      <c r="H274" s="4">
        <v>1</v>
      </c>
      <c r="I274" s="2" t="s">
        <v>889</v>
      </c>
      <c r="J274" s="4" t="s">
        <v>890</v>
      </c>
      <c r="K274" s="3" t="str">
        <f>HYPERLINK("https://www.google.com/maps/reviews/data=!4m8!14m7!1m6!2m5!1sChdDSUhNMG9nS0VJQ0FnSURyM2J6VG9nRRAB!2m1!1s0x0:0x69a44f6328ec207f!3m1!1s2@1:CIHM0ogKEICAgIDr3bzTogE%7C%7C?hl=en", "View Link")</f>
        <v>View Link</v>
      </c>
      <c r="L274" s="3"/>
    </row>
    <row r="275" spans="1:12" ht="20" customHeight="1">
      <c r="A275" s="2"/>
      <c r="B275" s="2"/>
      <c r="C275" s="2"/>
      <c r="D275" s="2"/>
      <c r="E275" s="3"/>
      <c r="F275" s="4"/>
      <c r="G275" s="5" t="s">
        <v>891</v>
      </c>
      <c r="H275" s="4">
        <v>1</v>
      </c>
      <c r="I275" s="2" t="s">
        <v>892</v>
      </c>
      <c r="J275" s="4" t="s">
        <v>893</v>
      </c>
      <c r="K275" s="3" t="str">
        <f>HYPERLINK("https://www.google.com/maps/reviews/data=!4m8!14m7!1m6!2m5!1sChZDSUhNMG9nS0VJQ0FnSUNlMVpHb0VnEAE!2m1!1s0x0:0x69a44f6328ec207f!3m1!1s2@1:CIHM0ogKEICAgICe1ZGoEg%7C%7C?hl=en", "View Link")</f>
        <v>View Link</v>
      </c>
      <c r="L275" s="3"/>
    </row>
    <row r="276" spans="1:12" ht="20" customHeight="1">
      <c r="A276" s="2"/>
      <c r="B276" s="2"/>
      <c r="C276" s="2"/>
      <c r="D276" s="2"/>
      <c r="E276" s="3"/>
      <c r="F276" s="4"/>
      <c r="G276" s="5" t="s">
        <v>894</v>
      </c>
      <c r="H276" s="4">
        <v>1</v>
      </c>
      <c r="I276" s="2" t="s">
        <v>895</v>
      </c>
      <c r="J276" s="4" t="s">
        <v>896</v>
      </c>
      <c r="K276" s="3" t="str">
        <f>HYPERLINK("https://www.google.com/maps/reviews/data=!4m8!14m7!1m6!2m5!1sChZDSUhNMG9nS0VJQ0FnSUMxLXZ2bkdREAE!2m1!1s0x0:0x69a44f6328ec207f!3m1!1s2@1:CIHM0ogKEICAgIC1-vvnGQ%7C%7C?hl=en", "View Link")</f>
        <v>View Link</v>
      </c>
      <c r="L276" s="3"/>
    </row>
    <row r="277" spans="1:12" ht="20" customHeight="1">
      <c r="A277" s="2"/>
      <c r="B277" s="2"/>
      <c r="C277" s="2"/>
      <c r="D277" s="2"/>
      <c r="E277" s="3"/>
      <c r="F277" s="4"/>
      <c r="G277" s="5" t="s">
        <v>897</v>
      </c>
      <c r="H277" s="4">
        <v>1</v>
      </c>
      <c r="I277" s="2" t="s">
        <v>898</v>
      </c>
      <c r="J277" s="4" t="s">
        <v>899</v>
      </c>
      <c r="K277" s="3" t="str">
        <f>HYPERLINK("https://www.google.com/maps/reviews/data=!4m8!14m7!1m6!2m5!1sCi9DQUlRQUNvZENodHljRjlvT2tSeVZYWkhUMHBZVlVoVE0zUXhielJoWVdoSVJVRRAB!2m1!1s0x0:0x69a44f6328ec207f!3m1!1s2@1:CAIQACodChtycF9oOkRyVXZHT0pYVUhTM3QxbzRhYWhIRUE%7C%7C?hl=en", "View Link")</f>
        <v>View Link</v>
      </c>
      <c r="L277" s="3"/>
    </row>
    <row r="278" spans="1:12" ht="20" customHeight="1">
      <c r="A278" s="2" t="s">
        <v>900</v>
      </c>
      <c r="B278" s="2" t="s">
        <v>901</v>
      </c>
      <c r="C278" s="2" t="s">
        <v>902</v>
      </c>
      <c r="D278" s="2" t="s">
        <v>89</v>
      </c>
      <c r="E278" s="3">
        <f>HYPERLINK("http://www.imde.es/", "Visit Website")</f>
        <v>0</v>
      </c>
      <c r="F278" s="4">
        <v>4.3</v>
      </c>
      <c r="G278" s="5" t="s">
        <v>903</v>
      </c>
      <c r="H278" s="4">
        <v>1</v>
      </c>
      <c r="I278" s="2" t="s">
        <v>904</v>
      </c>
      <c r="J278" s="4" t="s">
        <v>905</v>
      </c>
      <c r="K278" s="3" t="str">
        <f>HYPERLINK("https://www.google.com/maps/reviews/data=!4m8!14m7!1m6!2m5!1sChZDSUhNMG9nS0VJQ0FnSUNkcGMyU0VREAE!2m1!1s0x0:0xae6986db08d71bd0!3m1!1s2@1:CIHM0ogKEICAgICdpc2SEQ%7C%7C?hl=en", "View Link")</f>
        <v>View Link</v>
      </c>
      <c r="L278" s="3">
        <f>HYPERLINK("https://www.google.com/maps/search/?api=1&amp;query=IMDE%20-%20Madrid%20Institute%20of%20Dermatology%20and%20Aesthetics&amp;query_place_id=ChIJ9cJmkR4pQg0R0BvXCNuGaa4", "Open Map")</f>
        <v>0</v>
      </c>
    </row>
    <row r="279" spans="1:12" ht="20" customHeight="1">
      <c r="A279" s="2"/>
      <c r="B279" s="2"/>
      <c r="C279" s="2"/>
      <c r="D279" s="2"/>
      <c r="E279" s="3"/>
      <c r="F279" s="4"/>
      <c r="G279" s="5" t="s">
        <v>906</v>
      </c>
      <c r="H279" s="4">
        <v>1</v>
      </c>
      <c r="I279" s="2" t="s">
        <v>907</v>
      </c>
      <c r="J279" s="4" t="s">
        <v>908</v>
      </c>
      <c r="K279" s="3" t="str">
        <f>HYPERLINK("https://www.google.com/maps/reviews/data=!4m8!14m7!1m6!2m5!1sChZDSUhNMG9nS0VJQ0FnSUN5aS1lbkZREAE!2m1!1s0x0:0xae6986db08d71bd0!3m1!1s2@1:CIHM0ogKEICAgICyi-enFQ%7C%7C?hl=en", "View Link")</f>
        <v>View Link</v>
      </c>
      <c r="L279" s="3"/>
    </row>
    <row r="280" spans="1:12" ht="20" customHeight="1">
      <c r="A280" s="2"/>
      <c r="B280" s="2"/>
      <c r="C280" s="2"/>
      <c r="D280" s="2"/>
      <c r="E280" s="3"/>
      <c r="F280" s="4"/>
      <c r="G280" s="5" t="s">
        <v>909</v>
      </c>
      <c r="H280" s="4">
        <v>1</v>
      </c>
      <c r="I280" s="2" t="s">
        <v>910</v>
      </c>
      <c r="J280" s="4" t="s">
        <v>911</v>
      </c>
      <c r="K280" s="3" t="str">
        <f>HYPERLINK("https://www.google.com/maps/reviews/data=!4m8!14m7!1m6!2m5!1sChZDSUhNMG9nS0VJQ0FnTURROWRlM0N3EAE!2m1!1s0x0:0xae6986db08d71bd0!3m1!1s2@1:CIHM0ogKEICAgMDQ9de3Cw%7C%7C?hl=en", "View Link")</f>
        <v>View Link</v>
      </c>
      <c r="L280" s="3"/>
    </row>
    <row r="281" spans="1:12" ht="20" customHeight="1">
      <c r="A281" s="2"/>
      <c r="B281" s="2"/>
      <c r="C281" s="2"/>
      <c r="D281" s="2"/>
      <c r="E281" s="3"/>
      <c r="F281" s="4"/>
      <c r="G281" s="5" t="s">
        <v>912</v>
      </c>
      <c r="H281" s="4">
        <v>1</v>
      </c>
      <c r="I281" s="2" t="s">
        <v>913</v>
      </c>
      <c r="J281" s="4" t="s">
        <v>914</v>
      </c>
      <c r="K281" s="3" t="str">
        <f>HYPERLINK("https://www.google.com/maps/reviews/data=!4m8!14m7!1m6!2m5!1sChZDSUhNMG9nS0VJQ0FnSUQ5LXA2WWFnEAE!2m1!1s0x0:0xae6986db08d71bd0!3m1!1s2@1:CIHM0ogKEICAgID9-p6Yag%7C%7C?hl=en", "View Link")</f>
        <v>View Link</v>
      </c>
      <c r="L281" s="3"/>
    </row>
    <row r="282" spans="1:12" ht="20" customHeight="1">
      <c r="A282" s="2"/>
      <c r="B282" s="2"/>
      <c r="C282" s="2"/>
      <c r="D282" s="2"/>
      <c r="E282" s="3"/>
      <c r="F282" s="4"/>
      <c r="G282" s="5" t="s">
        <v>915</v>
      </c>
      <c r="H282" s="4">
        <v>1</v>
      </c>
      <c r="I282" s="2" t="s">
        <v>916</v>
      </c>
      <c r="J282" s="4" t="s">
        <v>917</v>
      </c>
      <c r="K282" s="3" t="str">
        <f>HYPERLINK("https://www.google.com/maps/reviews/data=!4m8!14m7!1m6!2m5!1sChZDSUhNMG9nS0VJQ0FnSUMyMGZyRWZBEAE!2m1!1s0x0:0xae6986db08d71bd0!3m1!1s2@1:CIHM0ogKEICAgIC20frEfA%7C%7C?hl=en", "View Link")</f>
        <v>View Link</v>
      </c>
      <c r="L282" s="3"/>
    </row>
    <row r="283" spans="1:12" ht="20" customHeight="1">
      <c r="A283" s="2"/>
      <c r="B283" s="2"/>
      <c r="C283" s="2"/>
      <c r="D283" s="2"/>
      <c r="E283" s="3"/>
      <c r="F283" s="4"/>
      <c r="G283" s="5" t="s">
        <v>918</v>
      </c>
      <c r="H283" s="4">
        <v>1</v>
      </c>
      <c r="I283" s="2" t="s">
        <v>919</v>
      </c>
      <c r="J283" s="4" t="s">
        <v>920</v>
      </c>
      <c r="K283" s="3" t="str">
        <f>HYPERLINK("https://www.google.com/maps/reviews/data=!4m8!14m7!1m6!2m5!1sChdDSUhNMG9nS0VJQ0FnSURDMDd2aXJRRRAB!2m1!1s0x0:0xae6986db08d71bd0!3m1!1s2@1:CIHM0ogKEICAgIDC07virQE%7C%7C?hl=en", "View Link")</f>
        <v>View Link</v>
      </c>
      <c r="L283" s="3"/>
    </row>
    <row r="284" spans="1:12" ht="20" customHeight="1">
      <c r="A284" s="2"/>
      <c r="B284" s="2"/>
      <c r="C284" s="2"/>
      <c r="D284" s="2"/>
      <c r="E284" s="3"/>
      <c r="F284" s="4"/>
      <c r="G284" s="5" t="s">
        <v>921</v>
      </c>
      <c r="H284" s="4">
        <v>1</v>
      </c>
      <c r="I284" s="2" t="s">
        <v>922</v>
      </c>
      <c r="J284" s="4" t="s">
        <v>923</v>
      </c>
      <c r="K284" s="3" t="str">
        <f>HYPERLINK("https://www.google.com/maps/reviews/data=!4m8!14m7!1m6!2m5!1sChZDSUhNMG9nS0VJQ0FnSURoamFfZ1VBEAE!2m1!1s0x0:0xae6986db08d71bd0!3m1!1s2@1:CIHM0ogKEICAgIDhja_gUA%7C%7C?hl=en", "View Link")</f>
        <v>View Link</v>
      </c>
      <c r="L284" s="3"/>
    </row>
    <row r="285" spans="1:12" ht="20" customHeight="1">
      <c r="A285" s="2"/>
      <c r="B285" s="2"/>
      <c r="C285" s="2"/>
      <c r="D285" s="2"/>
      <c r="E285" s="3"/>
      <c r="F285" s="4"/>
      <c r="G285" s="5" t="s">
        <v>924</v>
      </c>
      <c r="H285" s="4">
        <v>1</v>
      </c>
      <c r="I285" s="2" t="s">
        <v>925</v>
      </c>
      <c r="J285" s="4" t="s">
        <v>926</v>
      </c>
      <c r="K285" s="3" t="str">
        <f>HYPERLINK("https://www.google.com/maps/reviews/data=!4m8!14m7!1m6!2m5!1sChdDSUhNMG9nS0VJQ0FnSUN3d0ttRWpBRRAB!2m1!1s0x0:0xae6986db08d71bd0!3m1!1s2@1:CIHM0ogKEICAgICwwKmEjAE%7C%7C?hl=en", "View Link")</f>
        <v>View Link</v>
      </c>
      <c r="L285" s="3"/>
    </row>
    <row r="286" spans="1:12" ht="20" customHeight="1">
      <c r="A286" s="2"/>
      <c r="B286" s="2"/>
      <c r="C286" s="2"/>
      <c r="D286" s="2"/>
      <c r="E286" s="3"/>
      <c r="F286" s="4"/>
      <c r="G286" s="5" t="s">
        <v>927</v>
      </c>
      <c r="H286" s="4">
        <v>1</v>
      </c>
      <c r="I286" s="2" t="s">
        <v>928</v>
      </c>
      <c r="J286" s="4" t="s">
        <v>929</v>
      </c>
      <c r="K286" s="3" t="str">
        <f>HYPERLINK("https://www.google.com/maps/reviews/data=!4m8!14m7!1m6!2m5!1sChdDSUhNMG9nS0VJQ0FnSURHNE1qZHF3RRAB!2m1!1s0x0:0xae6986db08d71bd0!3m1!1s2@1:CIHM0ogKEICAgIDG4MjdqwE%7C%7C?hl=en", "View Link")</f>
        <v>View Link</v>
      </c>
      <c r="L286" s="3"/>
    </row>
    <row r="287" spans="1:12" ht="20" customHeight="1">
      <c r="A287" s="2"/>
      <c r="B287" s="2"/>
      <c r="C287" s="2"/>
      <c r="D287" s="2"/>
      <c r="E287" s="3"/>
      <c r="F287" s="4"/>
      <c r="G287" s="5" t="s">
        <v>930</v>
      </c>
      <c r="H287" s="4">
        <v>1</v>
      </c>
      <c r="I287" s="2" t="s">
        <v>931</v>
      </c>
      <c r="J287" s="4" t="s">
        <v>932</v>
      </c>
      <c r="K287" s="3" t="str">
        <f>HYPERLINK("https://www.google.com/maps/reviews/data=!4m8!14m7!1m6!2m5!1sChdDSUhNMG9nS0VJQ0FnSUNFLTd6UHFRRRAB!2m1!1s0x0:0xae6986db08d71bd0!3m1!1s2@1:CIHM0ogKEICAgICE-7zPqQE%7C%7C?hl=en", "View Link")</f>
        <v>View Link</v>
      </c>
      <c r="L287" s="3"/>
    </row>
    <row r="288" spans="1:12" ht="20" customHeight="1">
      <c r="A288" s="2"/>
      <c r="B288" s="2"/>
      <c r="C288" s="2"/>
      <c r="D288" s="2"/>
      <c r="E288" s="3"/>
      <c r="F288" s="4"/>
      <c r="G288" s="5" t="s">
        <v>933</v>
      </c>
      <c r="H288" s="4">
        <v>1</v>
      </c>
      <c r="I288" s="2" t="s">
        <v>934</v>
      </c>
      <c r="J288" s="4" t="s">
        <v>935</v>
      </c>
      <c r="K288" s="3" t="str">
        <f>HYPERLINK("https://www.google.com/maps/reviews/data=!4m8!14m7!1m6!2m5!1sChZDSUhNMG9nS0VJQ0FnSURaeUpMcFZBEAE!2m1!1s0x0:0xae6986db08d71bd0!3m1!1s2@1:CIHM0ogKEICAgIDZyJLpVA%7C%7C?hl=en", "View Link")</f>
        <v>View Link</v>
      </c>
      <c r="L288" s="3"/>
    </row>
    <row r="289" spans="1:12" ht="20" customHeight="1">
      <c r="A289" s="2"/>
      <c r="B289" s="2"/>
      <c r="C289" s="2"/>
      <c r="D289" s="2"/>
      <c r="E289" s="3"/>
      <c r="F289" s="4"/>
      <c r="G289" s="5" t="s">
        <v>936</v>
      </c>
      <c r="H289" s="4">
        <v>3</v>
      </c>
      <c r="I289" s="2" t="s">
        <v>937</v>
      </c>
      <c r="J289" s="4" t="s">
        <v>938</v>
      </c>
      <c r="K289" s="3" t="str">
        <f>HYPERLINK("https://www.google.com/maps/reviews/data=!4m8!14m7!1m6!2m5!1sChZDSUhNMG9nS0VJQ0FnSURJeTR1QmJREAE!2m1!1s0x0:0xae6986db08d71bd0!3m1!1s2@1:CIHM0ogKEICAgIDIy4uBbQ%7C%7C?hl=en", "View Link")</f>
        <v>View Link</v>
      </c>
      <c r="L289" s="3"/>
    </row>
    <row r="290" spans="1:12" ht="20" customHeight="1">
      <c r="A290" s="2"/>
      <c r="B290" s="2"/>
      <c r="C290" s="2"/>
      <c r="D290" s="2"/>
      <c r="E290" s="3"/>
      <c r="F290" s="4"/>
      <c r="G290" s="5" t="s">
        <v>939</v>
      </c>
      <c r="H290" s="4">
        <v>3</v>
      </c>
      <c r="I290" s="2"/>
      <c r="J290" s="4" t="s">
        <v>940</v>
      </c>
      <c r="K290" s="3" t="str">
        <f>HYPERLINK("https://www.google.com/maps/reviews/data=!4m8!14m7!1m6!2m5!1sChdDSUhNMG9nS0VJQ0FnSURBeXZiaHVBRRAB!2m1!1s0x0:0xae6986db08d71bd0!3m1!1s2@1:CIHM0ogKEICAgIDAyvbhuAE%7C%7C?hl=en", "View Link")</f>
        <v>View Link</v>
      </c>
      <c r="L290" s="3"/>
    </row>
    <row r="291" spans="1:12" ht="20" customHeight="1">
      <c r="A291" s="2" t="s">
        <v>941</v>
      </c>
      <c r="B291" s="2" t="s">
        <v>942</v>
      </c>
      <c r="C291" s="2" t="s">
        <v>943</v>
      </c>
      <c r="D291" s="2" t="s">
        <v>89</v>
      </c>
      <c r="E291" s="3">
        <f>HYPERLINK("http://www.dermatologohuelva.es/", "Visit Website")</f>
        <v>0</v>
      </c>
      <c r="F291" s="4">
        <v>3.9</v>
      </c>
      <c r="G291" s="5" t="s">
        <v>944</v>
      </c>
      <c r="H291" s="4">
        <v>1</v>
      </c>
      <c r="I291" s="2" t="s">
        <v>945</v>
      </c>
      <c r="J291" s="4" t="s">
        <v>946</v>
      </c>
      <c r="K291" s="3" t="str">
        <f>HYPERLINK("https://www.google.com/maps/reviews/data=!4m8!14m7!1m6!2m5!1sChdDSUhNMG9nS0VJQ0FnSUN3N0xMQmhnRRAB!2m1!1s0x0:0xa45f68735992e14d!3m1!1s2@1:CIHM0ogKEICAgICw7LLBhgE%7C%7C?hl=en", "View Link")</f>
        <v>View Link</v>
      </c>
      <c r="L291" s="3">
        <f>HYPERLINK("https://www.google.com/maps/search/?api=1&amp;query=Consulta%20Dermatol%C3%B3gica%20Miguel%20Redondo&amp;query_place_id=ChIJLTJqHSXQEQ0RTeGSWXNoX6Q", "Open Map")</f>
        <v>0</v>
      </c>
    </row>
    <row r="292" spans="1:12" ht="20" customHeight="1">
      <c r="A292" s="2"/>
      <c r="B292" s="2"/>
      <c r="C292" s="2"/>
      <c r="D292" s="2"/>
      <c r="E292" s="3"/>
      <c r="F292" s="4"/>
      <c r="G292" s="5" t="s">
        <v>947</v>
      </c>
      <c r="H292" s="4">
        <v>1</v>
      </c>
      <c r="I292" s="2" t="s">
        <v>948</v>
      </c>
      <c r="J292" s="4" t="s">
        <v>949</v>
      </c>
      <c r="K292" s="3" t="str">
        <f>HYPERLINK("https://www.google.com/maps/reviews/data=!4m8!14m7!1m6!2m5!1sChdDSUhNMG9nS0VJQ0FnSURwcFBUaGh3RRAB!2m1!1s0x0:0xa45f68735992e14d!3m1!1s2@1:CIHM0ogKEICAgIDppPThhwE%7C%7C?hl=en", "View Link")</f>
        <v>View Link</v>
      </c>
      <c r="L292" s="3"/>
    </row>
    <row r="293" spans="1:12" ht="20" customHeight="1">
      <c r="A293" s="2"/>
      <c r="B293" s="2"/>
      <c r="C293" s="2"/>
      <c r="D293" s="2"/>
      <c r="E293" s="3"/>
      <c r="F293" s="4"/>
      <c r="G293" s="5" t="s">
        <v>950</v>
      </c>
      <c r="H293" s="4">
        <v>1</v>
      </c>
      <c r="I293" s="2" t="s">
        <v>951</v>
      </c>
      <c r="J293" s="4" t="s">
        <v>952</v>
      </c>
      <c r="K293" s="3" t="str">
        <f>HYPERLINK("https://www.google.com/maps/reviews/data=!4m8!14m7!1m6!2m5!1sChZDSUhNMG9nS0VJQ0FnSUQ2alB1X0VnEAE!2m1!1s0x0:0xa45f68735992e14d!3m1!1s2@1:CIHM0ogKEICAgID6jPu_Eg%7C%7C?hl=en", "View Link")</f>
        <v>View Link</v>
      </c>
      <c r="L293" s="3"/>
    </row>
    <row r="294" spans="1:12" ht="20" customHeight="1">
      <c r="A294" s="2"/>
      <c r="B294" s="2"/>
      <c r="C294" s="2"/>
      <c r="D294" s="2"/>
      <c r="E294" s="3"/>
      <c r="F294" s="4"/>
      <c r="G294" s="5" t="s">
        <v>953</v>
      </c>
      <c r="H294" s="4">
        <v>1</v>
      </c>
      <c r="I294" s="2" t="s">
        <v>954</v>
      </c>
      <c r="J294" s="4" t="s">
        <v>955</v>
      </c>
      <c r="K294" s="3" t="str">
        <f>HYPERLINK("https://www.google.com/maps/reviews/data=!4m8!14m7!1m6!2m5!1sChZDSUhNMG9nS0VJQ0FnSUNxNUlMdFZBEAE!2m1!1s0x0:0xa45f68735992e14d!3m1!1s2@1:CIHM0ogKEICAgICq5ILtVA%7C%7C?hl=en", "View Link")</f>
        <v>View Link</v>
      </c>
      <c r="L294" s="3"/>
    </row>
    <row r="295" spans="1:12" ht="20" customHeight="1">
      <c r="A295" s="2"/>
      <c r="B295" s="2"/>
      <c r="C295" s="2"/>
      <c r="D295" s="2"/>
      <c r="E295" s="3"/>
      <c r="F295" s="4"/>
      <c r="G295" s="5" t="s">
        <v>956</v>
      </c>
      <c r="H295" s="4">
        <v>1</v>
      </c>
      <c r="I295" s="2" t="s">
        <v>957</v>
      </c>
      <c r="J295" s="4" t="s">
        <v>958</v>
      </c>
      <c r="K295" s="3" t="str">
        <f>HYPERLINK("https://www.google.com/maps/reviews/data=!4m8!14m7!1m6!2m5!1sChZDSUhNMG9nS0VJQ0FnSURPcmR2UVpREAE!2m1!1s0x0:0xa45f68735992e14d!3m1!1s2@1:CIHM0ogKEICAgIDOrdvQZQ%7C%7C?hl=en", "View Link")</f>
        <v>View Link</v>
      </c>
      <c r="L295" s="3"/>
    </row>
    <row r="296" spans="1:12" ht="20" customHeight="1">
      <c r="A296" s="2"/>
      <c r="B296" s="2"/>
      <c r="C296" s="2"/>
      <c r="D296" s="2"/>
      <c r="E296" s="3"/>
      <c r="F296" s="4"/>
      <c r="G296" s="5" t="s">
        <v>959</v>
      </c>
      <c r="H296" s="4">
        <v>1</v>
      </c>
      <c r="I296" s="2"/>
      <c r="J296" s="4" t="s">
        <v>960</v>
      </c>
      <c r="K296" s="3" t="str">
        <f>HYPERLINK("https://www.google.com/maps/reviews/data=!4m8!14m7!1m6!2m5!1sCi9DQUlRQUNvZENodHljRjlvT2pSelFVcHRXbEpmTjJkU1pIQnlkVVp0WlVGdmVuYxAB!2m1!1s0x0:0xa45f68735992e14d!3m1!1s2@1:CAIQACodChtycF9oOjRzQUptWlJfN2dSZHBydUZtZUFvenc%7C%7C?hl=en", "View Link")</f>
        <v>View Link</v>
      </c>
      <c r="L296" s="3"/>
    </row>
    <row r="297" spans="1:12" ht="20" customHeight="1">
      <c r="A297" s="2"/>
      <c r="B297" s="2"/>
      <c r="C297" s="2"/>
      <c r="D297" s="2"/>
      <c r="E297" s="3"/>
      <c r="F297" s="4"/>
      <c r="G297" s="5" t="s">
        <v>961</v>
      </c>
      <c r="H297" s="4">
        <v>1</v>
      </c>
      <c r="I297" s="2"/>
      <c r="J297" s="4" t="s">
        <v>962</v>
      </c>
      <c r="K297" s="3" t="str">
        <f>HYPERLINK("https://www.google.com/maps/reviews/data=!4m8!14m7!1m6!2m5!1sChdDSUhNMG9nS0VJQ0FnSURPN2VENWpnRRAB!2m1!1s0x0:0xa45f68735992e14d!3m1!1s2@1:CIHM0ogKEICAgIDO7eD5jgE%7C%7C?hl=en", "View Link")</f>
        <v>View Link</v>
      </c>
      <c r="L297" s="3"/>
    </row>
    <row r="298" spans="1:12" ht="20" customHeight="1">
      <c r="A298" s="2"/>
      <c r="B298" s="2"/>
      <c r="C298" s="2"/>
      <c r="D298" s="2"/>
      <c r="E298" s="3"/>
      <c r="F298" s="4"/>
      <c r="G298" s="5" t="s">
        <v>963</v>
      </c>
      <c r="H298" s="4">
        <v>2</v>
      </c>
      <c r="I298" s="2" t="s">
        <v>964</v>
      </c>
      <c r="J298" s="4" t="s">
        <v>965</v>
      </c>
      <c r="K298" s="3" t="str">
        <f>HYPERLINK("https://www.google.com/maps/reviews/data=!4m8!14m7!1m6!2m5!1sChZDSUhNMG9nS0VJQ0FnSUNocFBHa1B3EAE!2m1!1s0x0:0xa45f68735992e14d!3m1!1s2@1:CIHM0ogKEICAgIChpPGkPw%7C%7C?hl=en", "View Link")</f>
        <v>View Link</v>
      </c>
      <c r="L298" s="3"/>
    </row>
    <row r="299" spans="1:12" ht="20" customHeight="1">
      <c r="A299" s="2"/>
      <c r="B299" s="2"/>
      <c r="C299" s="2"/>
      <c r="D299" s="2"/>
      <c r="E299" s="3"/>
      <c r="F299" s="4"/>
      <c r="G299" s="5" t="s">
        <v>966</v>
      </c>
      <c r="H299" s="4">
        <v>2</v>
      </c>
      <c r="I299" s="2" t="s">
        <v>967</v>
      </c>
      <c r="J299" s="4" t="s">
        <v>968</v>
      </c>
      <c r="K299" s="3" t="str">
        <f>HYPERLINK("https://www.google.com/maps/reviews/data=!4m8!14m7!1m6!2m5!1sChZDSUhNMG9nS0VJQ0FnSUNRamNPU1VnEAE!2m1!1s0x0:0xa45f68735992e14d!3m1!1s2@1:CIHM0ogKEICAgICQjcOSUg%7C%7C?hl=en", "View Link")</f>
        <v>View Link</v>
      </c>
      <c r="L299" s="3"/>
    </row>
    <row r="300" spans="1:12" ht="20" customHeight="1">
      <c r="A300" s="2" t="s">
        <v>969</v>
      </c>
      <c r="B300" s="2" t="s">
        <v>970</v>
      </c>
      <c r="C300" s="2" t="s">
        <v>971</v>
      </c>
      <c r="D300" s="2" t="s">
        <v>972</v>
      </c>
      <c r="E300" s="3">
        <f>HYPERLINK("https://www.quironsalud.es/infanta-luisa", "Visit Website")</f>
        <v>0</v>
      </c>
      <c r="F300" s="4">
        <v>3.9</v>
      </c>
      <c r="G300" s="5" t="s">
        <v>973</v>
      </c>
      <c r="H300" s="4">
        <v>1</v>
      </c>
      <c r="I300" s="2" t="s">
        <v>974</v>
      </c>
      <c r="J300" s="4" t="s">
        <v>975</v>
      </c>
      <c r="K300" s="3" t="str">
        <f>HYPERLINK("https://www.google.com/maps/reviews/data=!4m8!14m7!1m6!2m5!1sCi9DQUlRQUNvZENodHljRjlvT201WVVVSlNZa3ROYzAxZlVrcFJaVmRNVWtKNE9YYxAB!2m1!1s0x0:0xd6b767a31dde7c2e!3m1!1s2@1:CAIQACodChtycF9oOm5YUUJSYktNc01fUkpRZVdMUkJ4OXc%7C%7C?hl=en", "View Link")</f>
        <v>View Link</v>
      </c>
      <c r="L300" s="3">
        <f>HYPERLINK("https://www.google.com/maps/search/?api=1&amp;query=Quir%C3%B3nsalud%20Infanta%20Luisa%20Hospital&amp;query_place_id=ChIJn2FcQ2psEg0RLnzeHaNnt9Y", "Open Map")</f>
        <v>0</v>
      </c>
    </row>
    <row r="301" spans="1:12" ht="20" customHeight="1">
      <c r="A301" s="2"/>
      <c r="B301" s="2"/>
      <c r="C301" s="2"/>
      <c r="D301" s="2"/>
      <c r="E301" s="3"/>
      <c r="F301" s="4"/>
      <c r="G301" s="5" t="s">
        <v>976</v>
      </c>
      <c r="H301" s="4">
        <v>1</v>
      </c>
      <c r="I301" s="2" t="s">
        <v>977</v>
      </c>
      <c r="J301" s="4" t="s">
        <v>978</v>
      </c>
      <c r="K301" s="3" t="str">
        <f>HYPERLINK("https://www.google.com/maps/reviews/data=!4m8!14m7!1m6!2m5!1sChZDSUhNMG9nS0VJQ0FnSURIOXNHYk1REAE!2m1!1s0x0:0xd6b767a31dde7c2e!3m1!1s2@1:CIHM0ogKEICAgIDH9sGbMQ%7C%7C?hl=en", "View Link")</f>
        <v>View Link</v>
      </c>
      <c r="L301" s="3"/>
    </row>
    <row r="302" spans="1:12" ht="20" customHeight="1">
      <c r="A302" s="2"/>
      <c r="B302" s="2"/>
      <c r="C302" s="2"/>
      <c r="D302" s="2"/>
      <c r="E302" s="3"/>
      <c r="F302" s="4"/>
      <c r="G302" s="5" t="s">
        <v>979</v>
      </c>
      <c r="H302" s="4">
        <v>1</v>
      </c>
      <c r="I302" s="2" t="s">
        <v>980</v>
      </c>
      <c r="J302" s="4" t="s">
        <v>981</v>
      </c>
      <c r="K302" s="3" t="str">
        <f>HYPERLINK("https://www.google.com/maps/reviews/data=!4m8!14m7!1m6!2m5!1sChdDSUhNMG9nS0VJQ0FnSUNLcWFURC1nRRAB!2m1!1s0x0:0xd6b767a31dde7c2e!3m1!1s2@1:CIHM0ogKEICAgICKqaTD-gE%7C%7C?hl=en", "View Link")</f>
        <v>View Link</v>
      </c>
      <c r="L302" s="3"/>
    </row>
    <row r="303" spans="1:12" ht="20" customHeight="1">
      <c r="A303" s="2"/>
      <c r="B303" s="2"/>
      <c r="C303" s="2"/>
      <c r="D303" s="2"/>
      <c r="E303" s="3"/>
      <c r="F303" s="4"/>
      <c r="G303" s="5" t="s">
        <v>982</v>
      </c>
      <c r="H303" s="4">
        <v>1</v>
      </c>
      <c r="I303" s="2" t="s">
        <v>983</v>
      </c>
      <c r="J303" s="4" t="s">
        <v>984</v>
      </c>
      <c r="K303" s="3" t="str">
        <f>HYPERLINK("https://www.google.com/maps/reviews/data=!4m8!14m7!1m6!2m5!1sChdDSUhNMG9nS0VJQ0FnSUN0NEsyaDJBRRAB!2m1!1s0x0:0xd6b767a31dde7c2e!3m1!1s2@1:CIHM0ogKEICAgICt4K2h2AE%7C%7C?hl=en", "View Link")</f>
        <v>View Link</v>
      </c>
      <c r="L303" s="3"/>
    </row>
    <row r="304" spans="1:12" ht="20" customHeight="1">
      <c r="A304" s="2"/>
      <c r="B304" s="2"/>
      <c r="C304" s="2"/>
      <c r="D304" s="2"/>
      <c r="E304" s="3"/>
      <c r="F304" s="4"/>
      <c r="G304" s="5" t="s">
        <v>985</v>
      </c>
      <c r="H304" s="4">
        <v>1</v>
      </c>
      <c r="I304" s="2" t="s">
        <v>986</v>
      </c>
      <c r="J304" s="4" t="s">
        <v>987</v>
      </c>
      <c r="K304" s="3" t="str">
        <f>HYPERLINK("https://www.google.com/maps/reviews/data=!4m8!14m7!1m6!2m5!1sCi9DQUlRQUNvZENodHljRjlvT2xkQ1dWaG9YelpDWW5scVRWSmlWRXRuV1UxVGVtYxAB!2m1!1s0x0:0xd6b767a31dde7c2e!3m1!1s2@1:CAIQACodChtycF9oOldCWVhoXzZCYnlqTVJiVEtnWU1Temc%7C%7C?hl=en", "View Link")</f>
        <v>View Link</v>
      </c>
      <c r="L304" s="3"/>
    </row>
    <row r="305" spans="1:12" ht="20" customHeight="1">
      <c r="A305" s="2"/>
      <c r="B305" s="2"/>
      <c r="C305" s="2"/>
      <c r="D305" s="2"/>
      <c r="E305" s="3"/>
      <c r="F305" s="4"/>
      <c r="G305" s="5" t="s">
        <v>988</v>
      </c>
      <c r="H305" s="4">
        <v>1</v>
      </c>
      <c r="I305" s="2" t="s">
        <v>989</v>
      </c>
      <c r="J305" s="4" t="s">
        <v>990</v>
      </c>
      <c r="K305" s="3" t="str">
        <f>HYPERLINK("https://www.google.com/maps/reviews/data=!4m8!14m7!1m6!2m5!1sCi9DQUlRQUNvZENodHljRjlvT20weGFHWm1hbkZQY205VVVXcHZMWGxTVkY5eE0xRRAB!2m1!1s0x0:0xd6b767a31dde7c2e!3m1!1s2@1:CAIQACodChtycF9oOm0xaGZmanFPcm9UUWpvLXlSVF9xM1E%7C%7C?hl=en", "View Link")</f>
        <v>View Link</v>
      </c>
      <c r="L305" s="3"/>
    </row>
    <row r="306" spans="1:12" ht="20" customHeight="1">
      <c r="A306" s="2"/>
      <c r="B306" s="2"/>
      <c r="C306" s="2"/>
      <c r="D306" s="2"/>
      <c r="E306" s="3"/>
      <c r="F306" s="4"/>
      <c r="G306" s="5" t="s">
        <v>991</v>
      </c>
      <c r="H306" s="4">
        <v>1</v>
      </c>
      <c r="I306" s="2" t="s">
        <v>992</v>
      </c>
      <c r="J306" s="4" t="s">
        <v>993</v>
      </c>
      <c r="K306" s="3" t="str">
        <f>HYPERLINK("https://www.google.com/maps/reviews/data=!4m8!14m7!1m6!2m5!1sCi9DQUlRQUNvZENodHljRjlvT25sdU9YTnBWREpTZW5KdmFqWkhTRWxsV1ZOMmNuYxAB!2m1!1s0x0:0xd6b767a31dde7c2e!3m1!1s2@1:CAIQACodChtycF9oOnluOXNpVDJSenJvajZHSEllWVN2cnc%7C%7C?hl=en", "View Link")</f>
        <v>View Link</v>
      </c>
      <c r="L306" s="3"/>
    </row>
    <row r="307" spans="1:12" ht="20" customHeight="1">
      <c r="A307" s="2"/>
      <c r="B307" s="2"/>
      <c r="C307" s="2"/>
      <c r="D307" s="2"/>
      <c r="E307" s="3"/>
      <c r="F307" s="4"/>
      <c r="G307" s="5" t="s">
        <v>994</v>
      </c>
      <c r="H307" s="4">
        <v>1</v>
      </c>
      <c r="I307" s="2" t="s">
        <v>995</v>
      </c>
      <c r="J307" s="4" t="s">
        <v>996</v>
      </c>
      <c r="K307" s="3" t="str">
        <f>HYPERLINK("https://www.google.com/maps/reviews/data=!4m8!14m7!1m6!2m5!1sCi9DQUlRQUNvZENodHljRjlvT2xkQlZXOTRjalpxTTJoVlZ6aG1NM28wY0d4eWJGRRAB!2m1!1s0x0:0xd6b767a31dde7c2e!3m1!1s2@1:CAIQACodChtycF9oOldBVW94cjZqM2hVVzhmM3o0cGxybFE%7C%7C?hl=en", "View Link")</f>
        <v>View Link</v>
      </c>
      <c r="L307" s="3"/>
    </row>
    <row r="308" spans="1:12" ht="20" customHeight="1">
      <c r="A308" s="2"/>
      <c r="B308" s="2"/>
      <c r="C308" s="2"/>
      <c r="D308" s="2"/>
      <c r="E308" s="3"/>
      <c r="F308" s="4"/>
      <c r="G308" s="5" t="s">
        <v>997</v>
      </c>
      <c r="H308" s="4">
        <v>1</v>
      </c>
      <c r="I308" s="2" t="s">
        <v>998</v>
      </c>
      <c r="J308" s="4" t="s">
        <v>999</v>
      </c>
      <c r="K308" s="3" t="str">
        <f>HYPERLINK("https://www.google.com/maps/reviews/data=!4m8!14m7!1m6!2m5!1sCi9DQUlRQUNvZENodHljRjlvT210a2QxTkViRmMyWlVKa1VFWlFhek5qTVRaRk5WRRAB!2m1!1s0x0:0xd6b767a31dde7c2e!3m1!1s2@1:CAIQACodChtycF9oOmtkd1NEbFc2ZUJkUEZQazNjMTZFNVE%7C%7C?hl=en", "View Link")</f>
        <v>View Link</v>
      </c>
      <c r="L308" s="3"/>
    </row>
    <row r="309" spans="1:12" ht="20" customHeight="1">
      <c r="A309" s="2"/>
      <c r="B309" s="2"/>
      <c r="C309" s="2"/>
      <c r="D309" s="2"/>
      <c r="E309" s="3"/>
      <c r="F309" s="4"/>
      <c r="G309" s="5" t="s">
        <v>1000</v>
      </c>
      <c r="H309" s="4">
        <v>1</v>
      </c>
      <c r="I309" s="2" t="s">
        <v>1001</v>
      </c>
      <c r="J309" s="4" t="s">
        <v>1002</v>
      </c>
      <c r="K309" s="3" t="str">
        <f>HYPERLINK("https://www.google.com/maps/reviews/data=!4m8!14m7!1m6!2m5!1sCi9DQUlRQUNvZENodHljRjlvT204ek1ITnpNVko2YlZWWWQweEdibFJrWjBGaFkyYxAB!2m1!1s0x0:0xd6b767a31dde7c2e!3m1!1s2@1:CAIQACodChtycF9oOm8zMHNzMVJ6bVVYd0xGblRkZ0FhY2c%7C%7C?hl=en", "View Link")</f>
        <v>View Link</v>
      </c>
      <c r="L309" s="3"/>
    </row>
    <row r="310" spans="1:12" ht="20" customHeight="1">
      <c r="A310" s="2"/>
      <c r="B310" s="2"/>
      <c r="C310" s="2"/>
      <c r="D310" s="2"/>
      <c r="E310" s="3"/>
      <c r="F310" s="4"/>
      <c r="G310" s="5" t="s">
        <v>1003</v>
      </c>
      <c r="H310" s="4">
        <v>1</v>
      </c>
      <c r="I310" s="2" t="s">
        <v>1004</v>
      </c>
      <c r="J310" s="4" t="s">
        <v>1005</v>
      </c>
      <c r="K310" s="3" t="str">
        <f>HYPERLINK("https://www.google.com/maps/reviews/data=!4m8!14m7!1m6!2m5!1sCi9DQUlRQUNvZENodHljRjlvT2pCd1kwdEtWSFpOYkdOak16UkNOSFJ3Y0VaVmEyYxAB!2m1!1s0x0:0xd6b767a31dde7c2e!3m1!1s2@1:CAIQACodChtycF9oOjBwY0tKVHZNbGNjMzRCNHRwcEZVa2c%7C%7C?hl=en", "View Link")</f>
        <v>View Link</v>
      </c>
      <c r="L310" s="3"/>
    </row>
    <row r="311" spans="1:12" ht="20" customHeight="1">
      <c r="A311" s="2"/>
      <c r="B311" s="2"/>
      <c r="C311" s="2"/>
      <c r="D311" s="2"/>
      <c r="E311" s="3"/>
      <c r="F311" s="4"/>
      <c r="G311" s="5" t="s">
        <v>1006</v>
      </c>
      <c r="H311" s="4">
        <v>1</v>
      </c>
      <c r="I311" s="2" t="s">
        <v>1007</v>
      </c>
      <c r="J311" s="4" t="s">
        <v>1008</v>
      </c>
      <c r="K311" s="3" t="str">
        <f>HYPERLINK("https://www.google.com/maps/reviews/data=!4m8!14m7!1m6!2m5!1sCi9DQUlRQUNvZENodHljRjlvT25OR1VHaEdkMjlXYjBOWGVIWm5NazVpUnpSNFozYxAB!2m1!1s0x0:0xd6b767a31dde7c2e!3m1!1s2@1:CAIQACodChtycF9oOnNGUGhGd29Wb0NXeHZnMk5iRzR4Z3c%7C%7C?hl=en", "View Link")</f>
        <v>View Link</v>
      </c>
      <c r="L311" s="3"/>
    </row>
    <row r="312" spans="1:12" ht="20" customHeight="1">
      <c r="A312" s="2"/>
      <c r="B312" s="2"/>
      <c r="C312" s="2"/>
      <c r="D312" s="2"/>
      <c r="E312" s="3"/>
      <c r="F312" s="4"/>
      <c r="G312" s="5" t="s">
        <v>1009</v>
      </c>
      <c r="H312" s="4">
        <v>1</v>
      </c>
      <c r="I312" s="2" t="s">
        <v>1010</v>
      </c>
      <c r="J312" s="4" t="s">
        <v>1011</v>
      </c>
      <c r="K312" s="3" t="str">
        <f>HYPERLINK("https://www.google.com/maps/reviews/data=!4m8!14m7!1m6!2m5!1sCi9DQUlRQUNvZENodHljRjlvT25JM2RYVTVNVzQ1YjJkaldHUkNaMEZMVEZwWFVtYxAB!2m1!1s0x0:0xd6b767a31dde7c2e!3m1!1s2@1:CAIQACodChtycF9oOnI3dXU5MW45b2djWGRCZ0FLTFpXUmc%7C%7C?hl=en", "View Link")</f>
        <v>View Link</v>
      </c>
      <c r="L312" s="3"/>
    </row>
    <row r="313" spans="1:12" ht="20" customHeight="1">
      <c r="A313" s="2"/>
      <c r="B313" s="2"/>
      <c r="C313" s="2"/>
      <c r="D313" s="2"/>
      <c r="E313" s="3"/>
      <c r="F313" s="4"/>
      <c r="G313" s="5" t="s">
        <v>1012</v>
      </c>
      <c r="H313" s="4">
        <v>1</v>
      </c>
      <c r="I313" s="2" t="s">
        <v>1013</v>
      </c>
      <c r="J313" s="4" t="s">
        <v>1014</v>
      </c>
      <c r="K313" s="3" t="str">
        <f>HYPERLINK("https://www.google.com/maps/reviews/data=!4m8!14m7!1m6!2m5!1sCi9DQUlRQUNvZENodHljRjlvT21KMFRVOVJRekozU0ZGNFdGVjBNSGRyUW5JdFkwRRAB!2m1!1s0x0:0xd6b767a31dde7c2e!3m1!1s2@1:CAIQACodChtycF9oOmJ0TU9RQzJ3SFF4WFV0MHdrQnItY0E%7C%7C?hl=en", "View Link")</f>
        <v>View Link</v>
      </c>
      <c r="L313" s="3"/>
    </row>
    <row r="314" spans="1:12" ht="20" customHeight="1">
      <c r="A314" s="2"/>
      <c r="B314" s="2"/>
      <c r="C314" s="2"/>
      <c r="D314" s="2"/>
      <c r="E314" s="3"/>
      <c r="F314" s="4"/>
      <c r="G314" s="5" t="s">
        <v>1015</v>
      </c>
      <c r="H314" s="4">
        <v>1</v>
      </c>
      <c r="I314" s="2" t="s">
        <v>1016</v>
      </c>
      <c r="J314" s="4" t="s">
        <v>1017</v>
      </c>
      <c r="K314" s="3" t="str">
        <f>HYPERLINK("https://www.google.com/maps/reviews/data=!4m8!14m7!1m6!2m5!1sCi9DQUlRQUNvZENodHljRjlvT2sxSVQwOWlWVVpTU1VjM2JYUjZTME5vYUZsamJsRRAB!2m1!1s0x0:0xd6b767a31dde7c2e!3m1!1s2@1:CAIQACodChtycF9oOk1IT09iVUZSSUc3bXR6S0NoaFljblE%7C%7C?hl=en", "View Link")</f>
        <v>View Link</v>
      </c>
      <c r="L314" s="3"/>
    </row>
    <row r="315" spans="1:12" ht="20" customHeight="1">
      <c r="A315" s="2"/>
      <c r="B315" s="2"/>
      <c r="C315" s="2"/>
      <c r="D315" s="2"/>
      <c r="E315" s="3"/>
      <c r="F315" s="4"/>
      <c r="G315" s="5" t="s">
        <v>1018</v>
      </c>
      <c r="H315" s="4">
        <v>1</v>
      </c>
      <c r="I315" s="2" t="s">
        <v>1019</v>
      </c>
      <c r="J315" s="4" t="s">
        <v>1020</v>
      </c>
      <c r="K315" s="3" t="str">
        <f>HYPERLINK("https://www.google.com/maps/reviews/data=!4m8!14m7!1m6!2m5!1sCi9DQUlRQUNvZENodHljRjlvT2twNGQzSkRTWEpOYnpGbVlUQjRZa0psZVZZeVZVRRAB!2m1!1s0x0:0xd6b767a31dde7c2e!3m1!1s2@1:CAIQACodChtycF9oOkp4d3JDSXJNbzFmYTB4YkJleVYyVUE%7C%7C?hl=en", "View Link")</f>
        <v>View Link</v>
      </c>
      <c r="L315" s="3"/>
    </row>
    <row r="316" spans="1:12" ht="20" customHeight="1">
      <c r="A316" s="2"/>
      <c r="B316" s="2"/>
      <c r="C316" s="2"/>
      <c r="D316" s="2"/>
      <c r="E316" s="3"/>
      <c r="F316" s="4"/>
      <c r="G316" s="5" t="s">
        <v>1021</v>
      </c>
      <c r="H316" s="4">
        <v>1</v>
      </c>
      <c r="I316" s="2" t="s">
        <v>1022</v>
      </c>
      <c r="J316" s="4" t="s">
        <v>1023</v>
      </c>
      <c r="K316" s="3" t="str">
        <f>HYPERLINK("https://www.google.com/maps/reviews/data=!4m8!14m7!1m6!2m5!1sCi9DQUlRQUNvZENodHljRjlvT2xSNGRreGpTSEYyYTAxUlVYTTJXR3hSTW5GYVFVRRAB!2m1!1s0x0:0xd6b767a31dde7c2e!3m1!1s2@1:CAIQACodChtycF9oOlR4dkxjSHF2a01RUXM2WGxRMnFaQUE%7C%7C?hl=en", "View Link")</f>
        <v>View Link</v>
      </c>
      <c r="L316" s="3"/>
    </row>
    <row r="317" spans="1:12" ht="20" customHeight="1">
      <c r="A317" s="2"/>
      <c r="B317" s="2"/>
      <c r="C317" s="2"/>
      <c r="D317" s="2"/>
      <c r="E317" s="3"/>
      <c r="F317" s="4"/>
      <c r="G317" s="5" t="s">
        <v>1024</v>
      </c>
      <c r="H317" s="4">
        <v>1</v>
      </c>
      <c r="I317" s="2" t="s">
        <v>1025</v>
      </c>
      <c r="J317" s="4" t="s">
        <v>1026</v>
      </c>
      <c r="K317" s="3" t="str">
        <f>HYPERLINK("https://www.google.com/maps/reviews/data=!4m8!14m7!1m6!2m5!1sCi9DQUlRQUNvZENodHljRjlvT2w5S2NqUlpaRjlDTjNZMmRFczJRelV4UTBGM1pGRRAB!2m1!1s0x0:0xd6b767a31dde7c2e!3m1!1s2@1:CAIQACodChtycF9oOl9KcjRZZF9CN3Y2dEs2QzUxQ0F3ZFE%7C%7C?hl=en", "View Link")</f>
        <v>View Link</v>
      </c>
      <c r="L317" s="3"/>
    </row>
    <row r="318" spans="1:12" ht="20" customHeight="1">
      <c r="A318" s="2"/>
      <c r="B318" s="2"/>
      <c r="C318" s="2"/>
      <c r="D318" s="2"/>
      <c r="E318" s="3"/>
      <c r="F318" s="4"/>
      <c r="G318" s="5" t="s">
        <v>1027</v>
      </c>
      <c r="H318" s="4">
        <v>1</v>
      </c>
      <c r="I318" s="2" t="s">
        <v>1028</v>
      </c>
      <c r="J318" s="4" t="s">
        <v>1029</v>
      </c>
      <c r="K318" s="3" t="str">
        <f>HYPERLINK("https://www.google.com/maps/reviews/data=!4m8!14m7!1m6!2m5!1sCi9DQUlRQUNvZENodHljRjlvT21ock1ua3RSR1p2VFVoUlNUWm9kekIzYlVReU4wRRAB!2m1!1s0x0:0xd6b767a31dde7c2e!3m1!1s2@1:CAIQACodChtycF9oOmhrMnktRGZvTUhRSTZodzB3bUQyN0E%7C%7C?hl=en", "View Link")</f>
        <v>View Link</v>
      </c>
      <c r="L318" s="3"/>
    </row>
    <row r="319" spans="1:12" ht="20" customHeight="1">
      <c r="A319" s="2"/>
      <c r="B319" s="2"/>
      <c r="C319" s="2"/>
      <c r="D319" s="2"/>
      <c r="E319" s="3"/>
      <c r="F319" s="4"/>
      <c r="G319" s="5" t="s">
        <v>1030</v>
      </c>
      <c r="H319" s="4">
        <v>1</v>
      </c>
      <c r="I319" s="2" t="s">
        <v>1031</v>
      </c>
      <c r="J319" s="4" t="s">
        <v>1032</v>
      </c>
      <c r="K319" s="3" t="str">
        <f>HYPERLINK("https://www.google.com/maps/reviews/data=!4m8!14m7!1m6!2m5!1sCi9DQUlRQUNvZENodHljRjlvT2xnM0xWVjBNMmR4YlV4NFVFOVVNVFJoT0haUmRtYxAB!2m1!1s0x0:0xd6b767a31dde7c2e!3m1!1s2@1:CAIQACodChtycF9oOlg3LVV0M2dxbUx4UE9UMTRhOHZRdmc%7C%7C?hl=en", "View Link")</f>
        <v>View Link</v>
      </c>
      <c r="L319" s="3"/>
    </row>
    <row r="320" spans="1:12" ht="20" customHeight="1">
      <c r="A320" s="2" t="s">
        <v>1033</v>
      </c>
      <c r="B320" s="2" t="s">
        <v>1034</v>
      </c>
      <c r="C320" s="2" t="s">
        <v>1035</v>
      </c>
      <c r="D320" s="2" t="s">
        <v>1036</v>
      </c>
      <c r="E320" s="3">
        <f>HYPERLINK("http://centromedicoeuropa.com/", "Visit Website")</f>
        <v>0</v>
      </c>
      <c r="F320" s="4">
        <v>3.7</v>
      </c>
      <c r="G320" s="5" t="s">
        <v>1037</v>
      </c>
      <c r="H320" s="4">
        <v>1</v>
      </c>
      <c r="I320" s="2" t="s">
        <v>1038</v>
      </c>
      <c r="J320" s="4" t="s">
        <v>1039</v>
      </c>
      <c r="K320" s="3" t="str">
        <f>HYPERLINK("https://www.google.com/maps/reviews/data=!4m8!14m7!1m6!2m5!1sChZDSUhNMG9nS0VJQ0FnSUNlc2V2VEtnEAE!2m1!1s0x0:0x916ce0d7fb4feb60!3m1!1s2@1:CIHM0ogKEICAgICesevTKg%7C%7C?hl=en", "View Link")</f>
        <v>View Link</v>
      </c>
      <c r="L320" s="3">
        <f>HYPERLINK("https://www.google.com/maps/search/?api=1&amp;query=Centro%20M%C3%A9dico%20Europa&amp;query_place_id=ChIJ3yHQhEdFYA0RYOtP-9fgbJE", "Open Map")</f>
        <v>0</v>
      </c>
    </row>
    <row r="321" spans="1:12" ht="20" customHeight="1">
      <c r="A321" s="2"/>
      <c r="B321" s="2"/>
      <c r="C321" s="2"/>
      <c r="D321" s="2"/>
      <c r="E321" s="3"/>
      <c r="F321" s="4"/>
      <c r="G321" s="5" t="s">
        <v>1040</v>
      </c>
      <c r="H321" s="4">
        <v>1</v>
      </c>
      <c r="I321" s="2" t="s">
        <v>1041</v>
      </c>
      <c r="J321" s="4" t="s">
        <v>1042</v>
      </c>
      <c r="K321" s="3" t="str">
        <f>HYPERLINK("https://www.google.com/maps/reviews/data=!4m8!14m7!1m6!2m5!1sCi9DQUlRQUNvZENodHljRjlvT2xaRWVrOVpWMmxHVFV0R1kzQmZlRmxCY0RCWVJVRRAB!2m1!1s0x0:0x916ce0d7fb4feb60!3m1!1s2@1:CAIQACodChtycF9oOlZEek9ZV2lGTUtGY3BfeFlBcDBYRUE%7C%7C?hl=en", "View Link")</f>
        <v>View Link</v>
      </c>
      <c r="L321" s="3"/>
    </row>
    <row r="322" spans="1:12" ht="20" customHeight="1">
      <c r="A322" s="2"/>
      <c r="B322" s="2"/>
      <c r="C322" s="2"/>
      <c r="D322" s="2"/>
      <c r="E322" s="3"/>
      <c r="F322" s="4"/>
      <c r="G322" s="5" t="s">
        <v>1043</v>
      </c>
      <c r="H322" s="4">
        <v>1</v>
      </c>
      <c r="I322" s="2" t="s">
        <v>1044</v>
      </c>
      <c r="J322" s="4" t="s">
        <v>1045</v>
      </c>
      <c r="K322" s="3" t="str">
        <f>HYPERLINK("https://www.google.com/maps/reviews/data=!4m8!14m7!1m6!2m5!1sCi9DQUlRQUNvZENodHljRjlvT21ablR6SkRTV0ZVUWxSQlRuQnJVM1JOTW5GNVJWRRAB!2m1!1s0x0:0x916ce0d7fb4feb60!3m1!1s2@1:CAIQACodChtycF9oOmZnTzJDSWFUQlRBTnBrU3RNMnF5RVE%7C%7C?hl=en", "View Link")</f>
        <v>View Link</v>
      </c>
      <c r="L322" s="3"/>
    </row>
    <row r="323" spans="1:12" ht="20" customHeight="1">
      <c r="A323" s="2"/>
      <c r="B323" s="2"/>
      <c r="C323" s="2"/>
      <c r="D323" s="2"/>
      <c r="E323" s="3"/>
      <c r="F323" s="4"/>
      <c r="G323" s="5" t="s">
        <v>1046</v>
      </c>
      <c r="H323" s="4">
        <v>1</v>
      </c>
      <c r="I323" s="2" t="s">
        <v>1047</v>
      </c>
      <c r="J323" s="4" t="s">
        <v>1048</v>
      </c>
      <c r="K323" s="3" t="str">
        <f>HYPERLINK("https://www.google.com/maps/reviews/data=!4m8!14m7!1m6!2m5!1sCi9DQUlRQUNvZENodHljRjlvT25velJWVXpiRWw0Y0djemJXaDRkV2w2Y3kweFFsRRAB!2m1!1s0x0:0x916ce0d7fb4feb60!3m1!1s2@1:CAIQACodChtycF9oOnozRVUzbEl4cGczbWh4dWl6cy0xQlE%7C%7C?hl=en", "View Link")</f>
        <v>View Link</v>
      </c>
      <c r="L323" s="3"/>
    </row>
    <row r="324" spans="1:12" ht="20" customHeight="1">
      <c r="A324" s="2"/>
      <c r="B324" s="2"/>
      <c r="C324" s="2"/>
      <c r="D324" s="2"/>
      <c r="E324" s="3"/>
      <c r="F324" s="4"/>
      <c r="G324" s="5" t="s">
        <v>1049</v>
      </c>
      <c r="H324" s="4">
        <v>1</v>
      </c>
      <c r="I324" s="2" t="s">
        <v>1050</v>
      </c>
      <c r="J324" s="4" t="s">
        <v>1051</v>
      </c>
      <c r="K324" s="3" t="str">
        <f>HYPERLINK("https://www.google.com/maps/reviews/data=!4m8!14m7!1m6!2m5!1sCi9DQUlRQUNvZENodHljRjlvT25KQ1dXODNOMmt6TUhRM2VXOUZORFJuYUMxU05IYxAB!2m1!1s0x0:0x916ce0d7fb4feb60!3m1!1s2@1:CAIQACodChtycF9oOnJCWW83N2kzMHQ3eW9FNDRnaC1SNHc%7C%7C?hl=en", "View Link")</f>
        <v>View Link</v>
      </c>
      <c r="L324" s="3"/>
    </row>
    <row r="325" spans="1:12" ht="20" customHeight="1">
      <c r="A325" s="2"/>
      <c r="B325" s="2"/>
      <c r="C325" s="2"/>
      <c r="D325" s="2"/>
      <c r="E325" s="3"/>
      <c r="F325" s="4"/>
      <c r="G325" s="5" t="s">
        <v>1052</v>
      </c>
      <c r="H325" s="4">
        <v>1</v>
      </c>
      <c r="I325" s="2" t="s">
        <v>1053</v>
      </c>
      <c r="J325" s="4" t="s">
        <v>1054</v>
      </c>
      <c r="K325" s="3" t="str">
        <f>HYPERLINK("https://www.google.com/maps/reviews/data=!4m8!14m7!1m6!2m5!1sCi9DQUlRQUNvZENodHljRjlvT21KaVJVTnpSREZpV0VWRVVUUXpZMEpHTlVWb2MyYxAB!2m1!1s0x0:0x916ce0d7fb4feb60!3m1!1s2@1:CAIQACodChtycF9oOmJiRUNzRDFiWEVEUTQzY0JGNUVoc2c%7C%7C?hl=en", "View Link")</f>
        <v>View Link</v>
      </c>
      <c r="L325" s="3"/>
    </row>
    <row r="326" spans="1:12" ht="20" customHeight="1">
      <c r="A326" s="2"/>
      <c r="B326" s="2"/>
      <c r="C326" s="2"/>
      <c r="D326" s="2"/>
      <c r="E326" s="3"/>
      <c r="F326" s="4"/>
      <c r="G326" s="5" t="s">
        <v>1055</v>
      </c>
      <c r="H326" s="4">
        <v>1</v>
      </c>
      <c r="I326" s="2" t="s">
        <v>1056</v>
      </c>
      <c r="J326" s="4" t="s">
        <v>1057</v>
      </c>
      <c r="K326" s="3" t="str">
        <f>HYPERLINK("https://www.google.com/maps/reviews/data=!4m8!14m7!1m6!2m5!1sCi9DQUlRQUNvZENodHljRjlvT2w5WGVrdG5Wek10WkRkVWJ6TXdhMHRSU1U0eFIzYxAB!2m1!1s0x0:0x916ce0d7fb4feb60!3m1!1s2@1:CAIQACodChtycF9oOl9XektnVzMtZDdUbzMwa0tRSU4xR3c%7C%7C?hl=en", "View Link")</f>
        <v>View Link</v>
      </c>
      <c r="L326" s="3"/>
    </row>
    <row r="327" spans="1:12" ht="20" customHeight="1">
      <c r="A327" s="2"/>
      <c r="B327" s="2"/>
      <c r="C327" s="2"/>
      <c r="D327" s="2"/>
      <c r="E327" s="3"/>
      <c r="F327" s="4"/>
      <c r="G327" s="5" t="s">
        <v>1058</v>
      </c>
      <c r="H327" s="4">
        <v>1</v>
      </c>
      <c r="I327" s="2" t="s">
        <v>1059</v>
      </c>
      <c r="J327" s="4" t="s">
        <v>1060</v>
      </c>
      <c r="K327" s="3" t="str">
        <f>HYPERLINK("https://www.google.com/maps/reviews/data=!4m8!14m7!1m6!2m5!1sCi9DQUlRQUNvZENodHljRjlvT2s1WWNFRXdNbmQyWVVSa2JYZGFSVjl1UWtZdGNXYxAB!2m1!1s0x0:0x916ce0d7fb4feb60!3m1!1s2@1:CAIQACodChtycF9oOk5YcEEwMnd2YURkbXdaRV9uQkYtcWc%7C%7C?hl=en", "View Link")</f>
        <v>View Link</v>
      </c>
      <c r="L327" s="3"/>
    </row>
    <row r="328" spans="1:12" ht="20" customHeight="1">
      <c r="A328" s="2"/>
      <c r="B328" s="2"/>
      <c r="C328" s="2"/>
      <c r="D328" s="2"/>
      <c r="E328" s="3"/>
      <c r="F328" s="4"/>
      <c r="G328" s="5" t="s">
        <v>1061</v>
      </c>
      <c r="H328" s="4">
        <v>1</v>
      </c>
      <c r="I328" s="2" t="s">
        <v>1062</v>
      </c>
      <c r="J328" s="4" t="s">
        <v>1063</v>
      </c>
      <c r="K328" s="3" t="str">
        <f>HYPERLINK("https://www.google.com/maps/reviews/data=!4m8!14m7!1m6!2m5!1sCi9DQUlRQUNvZENodHljRjlvT2s4MldsSnhNRGRrU2tWRGVEVkpVM2d6T1hFMlVHYxAB!2m1!1s0x0:0x916ce0d7fb4feb60!3m1!1s2@1:CAIQACodChtycF9oOk82WlJxMDdkSkVDeDVJU3gzOXE2UGc%7C%7C?hl=en", "View Link")</f>
        <v>View Link</v>
      </c>
      <c r="L328" s="3"/>
    </row>
    <row r="329" spans="1:12" ht="20" customHeight="1">
      <c r="A329" s="2"/>
      <c r="B329" s="2"/>
      <c r="C329" s="2"/>
      <c r="D329" s="2"/>
      <c r="E329" s="3"/>
      <c r="F329" s="4"/>
      <c r="G329" s="5" t="s">
        <v>1064</v>
      </c>
      <c r="H329" s="4">
        <v>1</v>
      </c>
      <c r="I329" s="2" t="s">
        <v>1065</v>
      </c>
      <c r="J329" s="4" t="s">
        <v>1066</v>
      </c>
      <c r="K329" s="3" t="str">
        <f>HYPERLINK("https://www.google.com/maps/reviews/data=!4m8!14m7!1m6!2m5!1sCi9DQUlRQUNvZENodHljRjlvT21OV2FuSlFXakpFVFMxNlVHVlFMV2RGWW5FNFJIYxAB!2m1!1s0x0:0x916ce0d7fb4feb60!3m1!1s2@1:CAIQACodChtycF9oOmNWanJQWjJETS16UGVQLWdFYnE4RHc%7C%7C?hl=en", "View Link")</f>
        <v>View Link</v>
      </c>
      <c r="L329" s="3"/>
    </row>
    <row r="330" spans="1:12" ht="20" customHeight="1">
      <c r="A330" s="2"/>
      <c r="B330" s="2"/>
      <c r="C330" s="2"/>
      <c r="D330" s="2"/>
      <c r="E330" s="3"/>
      <c r="F330" s="4"/>
      <c r="G330" s="5" t="s">
        <v>1067</v>
      </c>
      <c r="H330" s="4">
        <v>1</v>
      </c>
      <c r="I330" s="2" t="s">
        <v>1068</v>
      </c>
      <c r="J330" s="4" t="s">
        <v>1069</v>
      </c>
      <c r="K330" s="3" t="str">
        <f>HYPERLINK("https://www.google.com/maps/reviews/data=!4m8!14m7!1m6!2m5!1sCi9DQUlRQUNvZENodHljRjlvT2toa2NFdDBZbVZOTjNGdE5WVllVVTVHWkVZNVNuYxAB!2m1!1s0x0:0x916ce0d7fb4feb60!3m1!1s2@1:CAIQACodChtycF9oOkhkcEt0YmVNN3FtNVVYUU5GZEY5Snc%7C%7C?hl=en", "View Link")</f>
        <v>View Link</v>
      </c>
      <c r="L330" s="3"/>
    </row>
    <row r="331" spans="1:12" ht="20" customHeight="1">
      <c r="A331" s="2"/>
      <c r="B331" s="2"/>
      <c r="C331" s="2"/>
      <c r="D331" s="2"/>
      <c r="E331" s="3"/>
      <c r="F331" s="4"/>
      <c r="G331" s="5" t="s">
        <v>1070</v>
      </c>
      <c r="H331" s="4">
        <v>1</v>
      </c>
      <c r="I331" s="2" t="s">
        <v>1071</v>
      </c>
      <c r="J331" s="4" t="s">
        <v>1072</v>
      </c>
      <c r="K331" s="3" t="str">
        <f>HYPERLINK("https://www.google.com/maps/reviews/data=!4m8!14m7!1m6!2m5!1sChdDSUhNMG9nS0VKS295WlgzNXMycWdRRRAB!2m1!1s0x0:0x916ce0d7fb4feb60!3m1!1s2@1:CIHM0ogKEJKoyZX35s2qgQE%7C%7C?hl=en", "View Link")</f>
        <v>View Link</v>
      </c>
      <c r="L331" s="3"/>
    </row>
    <row r="332" spans="1:12" ht="20" customHeight="1">
      <c r="A332" s="2"/>
      <c r="B332" s="2"/>
      <c r="C332" s="2"/>
      <c r="D332" s="2"/>
      <c r="E332" s="3"/>
      <c r="F332" s="4"/>
      <c r="G332" s="5" t="s">
        <v>1073</v>
      </c>
      <c r="H332" s="4">
        <v>1</v>
      </c>
      <c r="I332" s="2" t="s">
        <v>1074</v>
      </c>
      <c r="J332" s="4" t="s">
        <v>1075</v>
      </c>
      <c r="K332" s="3" t="str">
        <f>HYPERLINK("https://www.google.com/maps/reviews/data=!4m8!14m7!1m6!2m5!1sCi9DQUlRQUNvZENodHljRjlvT2pVelVtcHhPRFZvWDBKMU9WWTJNVEUxVEZsMFVWRRAB!2m1!1s0x0:0x916ce0d7fb4feb60!3m1!1s2@1:CAIQACodChtycF9oOjUzUmpxODVoX0J1OVY2MTE1TFl0UVE%7C%7C?hl=en", "View Link")</f>
        <v>View Link</v>
      </c>
      <c r="L332" s="3"/>
    </row>
    <row r="333" spans="1:12" ht="20" customHeight="1">
      <c r="A333" s="2"/>
      <c r="B333" s="2"/>
      <c r="C333" s="2"/>
      <c r="D333" s="2"/>
      <c r="E333" s="3"/>
      <c r="F333" s="4"/>
      <c r="G333" s="5" t="s">
        <v>1076</v>
      </c>
      <c r="H333" s="4">
        <v>1</v>
      </c>
      <c r="I333" s="2" t="s">
        <v>1077</v>
      </c>
      <c r="J333" s="4" t="s">
        <v>1078</v>
      </c>
      <c r="K333" s="3" t="str">
        <f>HYPERLINK("https://www.google.com/maps/reviews/data=!4m8!14m7!1m6!2m5!1sChZDSUhNMG9nS0VJQ0FnTURJOW9PcUhBEAE!2m1!1s0x0:0x916ce0d7fb4feb60!3m1!1s2@1:CIHM0ogKEICAgMDI9oOqHA%7C%7C?hl=en", "View Link")</f>
        <v>View Link</v>
      </c>
      <c r="L333" s="3"/>
    </row>
    <row r="334" spans="1:12" ht="20" customHeight="1">
      <c r="A334" s="2"/>
      <c r="B334" s="2"/>
      <c r="C334" s="2"/>
      <c r="D334" s="2"/>
      <c r="E334" s="3"/>
      <c r="F334" s="4"/>
      <c r="G334" s="5" t="s">
        <v>1079</v>
      </c>
      <c r="H334" s="4">
        <v>1</v>
      </c>
      <c r="I334" s="2" t="s">
        <v>1080</v>
      </c>
      <c r="J334" s="4" t="s">
        <v>1081</v>
      </c>
      <c r="K334" s="3" t="str">
        <f>HYPERLINK("https://www.google.com/maps/reviews/data=!4m8!14m7!1m6!2m5!1sChZDSUhNMG9nS0VJQ0FnTURRbzliRWFBEAE!2m1!1s0x0:0x916ce0d7fb4feb60!3m1!1s2@1:CIHM0ogKEICAgMDQo9bEaA%7C%7C?hl=en", "View Link")</f>
        <v>View Link</v>
      </c>
      <c r="L334" s="3"/>
    </row>
    <row r="335" spans="1:12" ht="20" customHeight="1">
      <c r="A335" s="2"/>
      <c r="B335" s="2"/>
      <c r="C335" s="2"/>
      <c r="D335" s="2"/>
      <c r="E335" s="3"/>
      <c r="F335" s="4"/>
      <c r="G335" s="5" t="s">
        <v>1082</v>
      </c>
      <c r="H335" s="4">
        <v>1</v>
      </c>
      <c r="I335" s="2" t="s">
        <v>1083</v>
      </c>
      <c r="J335" s="4" t="s">
        <v>1084</v>
      </c>
      <c r="K335" s="3" t="str">
        <f>HYPERLINK("https://www.google.com/maps/reviews/data=!4m8!14m7!1m6!2m5!1sChdDSUhNMG9nS0VKSEpzOHk3NUlpOGxRRRAB!2m1!1s0x0:0x916ce0d7fb4feb60!3m1!1s2@1:CIHM0ogKEJHJs8y75Ii8lQE%7C%7C?hl=en", "View Link")</f>
        <v>View Link</v>
      </c>
      <c r="L335" s="3"/>
    </row>
    <row r="336" spans="1:12" ht="20" customHeight="1">
      <c r="A336" s="2"/>
      <c r="B336" s="2"/>
      <c r="C336" s="2"/>
      <c r="D336" s="2"/>
      <c r="E336" s="3"/>
      <c r="F336" s="4"/>
      <c r="G336" s="5" t="s">
        <v>1085</v>
      </c>
      <c r="H336" s="4">
        <v>1</v>
      </c>
      <c r="I336" s="2" t="s">
        <v>1086</v>
      </c>
      <c r="J336" s="4" t="s">
        <v>1087</v>
      </c>
      <c r="K336" s="3" t="str">
        <f>HYPERLINK("https://www.google.com/maps/reviews/data=!4m8!14m7!1m6!2m5!1sChdDSUhNMG9nS0VJQ0FnTUNRX3ZHVml3RRAB!2m1!1s0x0:0x916ce0d7fb4feb60!3m1!1s2@1:CIHM0ogKEICAgMCQ_vGViwE%7C%7C?hl=en", "View Link")</f>
        <v>View Link</v>
      </c>
      <c r="L336" s="3"/>
    </row>
    <row r="337" spans="1:12" ht="20" customHeight="1">
      <c r="A337" s="2"/>
      <c r="B337" s="2"/>
      <c r="C337" s="2"/>
      <c r="D337" s="2"/>
      <c r="E337" s="3"/>
      <c r="F337" s="4"/>
      <c r="G337" s="5" t="s">
        <v>1088</v>
      </c>
      <c r="H337" s="4">
        <v>1</v>
      </c>
      <c r="I337" s="2" t="s">
        <v>1089</v>
      </c>
      <c r="J337" s="4" t="s">
        <v>1090</v>
      </c>
      <c r="K337" s="3" t="str">
        <f>HYPERLINK("https://www.google.com/maps/reviews/data=!4m8!14m7!1m6!2m5!1sChZDSUhNMG9nS0VJQ0FnTUNncUp6Wk53EAE!2m1!1s0x0:0x916ce0d7fb4feb60!3m1!1s2@1:CIHM0ogKEICAgMCgqJzZNw%7C%7C?hl=en", "View Link")</f>
        <v>View Link</v>
      </c>
      <c r="L337" s="3"/>
    </row>
    <row r="338" spans="1:12" ht="20" customHeight="1">
      <c r="A338" s="2"/>
      <c r="B338" s="2"/>
      <c r="C338" s="2"/>
      <c r="D338" s="2"/>
      <c r="E338" s="3"/>
      <c r="F338" s="4"/>
      <c r="G338" s="5" t="s">
        <v>1091</v>
      </c>
      <c r="H338" s="4">
        <v>1</v>
      </c>
      <c r="I338" s="2" t="s">
        <v>1092</v>
      </c>
      <c r="J338" s="4" t="s">
        <v>1093</v>
      </c>
      <c r="K338" s="3" t="str">
        <f>HYPERLINK("https://www.google.com/maps/reviews/data=!4m8!14m7!1m6!2m5!1sChZDSUhNMG9nS0VJQ0FnSUNYMXFEWlNBEAE!2m1!1s0x0:0x916ce0d7fb4feb60!3m1!1s2@1:CIHM0ogKEICAgICX1qDZSA%7C%7C?hl=en", "View Link")</f>
        <v>View Link</v>
      </c>
      <c r="L338" s="3"/>
    </row>
    <row r="339" spans="1:12" ht="20" customHeight="1">
      <c r="A339" s="2"/>
      <c r="B339" s="2"/>
      <c r="C339" s="2"/>
      <c r="D339" s="2"/>
      <c r="E339" s="3"/>
      <c r="F339" s="4"/>
      <c r="G339" s="5" t="s">
        <v>1094</v>
      </c>
      <c r="H339" s="4">
        <v>1</v>
      </c>
      <c r="I339" s="2" t="s">
        <v>1095</v>
      </c>
      <c r="J339" s="4" t="s">
        <v>1096</v>
      </c>
      <c r="K339" s="3" t="str">
        <f>HYPERLINK("https://www.google.com/maps/reviews/data=!4m8!14m7!1m6!2m5!1sChZDSUhNMG9nS0VJQ0FnTURBdDlYcUVBEAE!2m1!1s0x0:0x916ce0d7fb4feb60!3m1!1s2@1:CIHM0ogKEICAgMDAt9XqEA%7C%7C?hl=en", "View Link")</f>
        <v>View Link</v>
      </c>
      <c r="L339" s="3"/>
    </row>
    <row r="340" spans="1:12" ht="20" customHeight="1">
      <c r="A340" s="2" t="s">
        <v>1097</v>
      </c>
      <c r="B340" s="2" t="s">
        <v>1098</v>
      </c>
      <c r="C340" s="2" t="s">
        <v>1099</v>
      </c>
      <c r="D340" s="2" t="s">
        <v>1100</v>
      </c>
      <c r="E340" s="3">
        <f>HYPERLINK("https://www.ivo.es/", "Visit Website")</f>
        <v>0</v>
      </c>
      <c r="F340" s="4">
        <v>4</v>
      </c>
      <c r="G340" s="5" t="s">
        <v>1101</v>
      </c>
      <c r="H340" s="4">
        <v>1</v>
      </c>
      <c r="I340" s="2" t="s">
        <v>1102</v>
      </c>
      <c r="J340" s="4" t="s">
        <v>1103</v>
      </c>
      <c r="K340" s="3" t="str">
        <f>HYPERLINK("https://www.google.com/maps/reviews/data=!4m8!14m7!1m6!2m5!1sCi9DQUlRQUNvZENodHljRjlvT2xGeE5VZE1aVEptVm0xaVFUUjNWVFpQVlVOVVIxRRAB!2m1!1s0x0:0xd2c23345e585fa42!3m1!1s2@1:CAIQACodChtycF9oOlFxNUdMZTJmVm1iQTR3VTZPVUNUR1E%7C%7C?hl=en", "View Link")</f>
        <v>View Link</v>
      </c>
      <c r="L340" s="3">
        <f>HYPERLINK("https://www.google.com/maps/search/?api=1&amp;query=IVO.%20Instituto%20Valenciano%20de%20Oncolog%C3%ADa&amp;query_place_id=ChIJ_wbpnV5PYA0RQvqF5UUzwtI", "Open Map")</f>
        <v>0</v>
      </c>
    </row>
    <row r="341" spans="1:12" ht="20" customHeight="1">
      <c r="A341" s="2"/>
      <c r="B341" s="2"/>
      <c r="C341" s="2"/>
      <c r="D341" s="2"/>
      <c r="E341" s="3"/>
      <c r="F341" s="4"/>
      <c r="G341" s="5" t="s">
        <v>1104</v>
      </c>
      <c r="H341" s="4">
        <v>1</v>
      </c>
      <c r="I341" s="2" t="s">
        <v>1105</v>
      </c>
      <c r="J341" s="4" t="s">
        <v>1106</v>
      </c>
      <c r="K341" s="3" t="str">
        <f>HYPERLINK("https://www.google.com/maps/reviews/data=!4m8!14m7!1m6!2m5!1sCi9DQUlRQUNvZENodHljRjlvT21WVldFWkxWMWx4UzNSQldHUjRUMlZYYkZORFdtYxAB!2m1!1s0x0:0xd2c23345e585fa42!3m1!1s2@1:CAIQACodChtycF9oOmVVWEZLV1lxS3RBWGR4T2VXbFNDWmc%7C%7C?hl=en", "View Link")</f>
        <v>View Link</v>
      </c>
      <c r="L341" s="3"/>
    </row>
    <row r="342" spans="1:12" ht="20" customHeight="1">
      <c r="A342" s="2"/>
      <c r="B342" s="2"/>
      <c r="C342" s="2"/>
      <c r="D342" s="2"/>
      <c r="E342" s="3"/>
      <c r="F342" s="4"/>
      <c r="G342" s="5" t="s">
        <v>1067</v>
      </c>
      <c r="H342" s="4">
        <v>1</v>
      </c>
      <c r="I342" s="2" t="s">
        <v>1107</v>
      </c>
      <c r="J342" s="4" t="s">
        <v>1108</v>
      </c>
      <c r="K342" s="3" t="str">
        <f>HYPERLINK("https://www.google.com/maps/reviews/data=!4m8!14m7!1m6!2m5!1sCi9DQUlRQUNvZENodHljRjlvT2sxRlQwaE5XbGswYmt0TlZHeExaSFpqWlZKaFRWRRAB!2m1!1s0x0:0xd2c23345e585fa42!3m1!1s2@1:CAIQACodChtycF9oOk1FT0hNWlk0bktNVGxLZHZjZVJhTVE%7C%7C?hl=en", "View Link")</f>
        <v>View Link</v>
      </c>
      <c r="L342" s="3"/>
    </row>
    <row r="343" spans="1:12" ht="20" customHeight="1">
      <c r="A343" s="2"/>
      <c r="B343" s="2"/>
      <c r="C343" s="2"/>
      <c r="D343" s="2"/>
      <c r="E343" s="3"/>
      <c r="F343" s="4"/>
      <c r="G343" s="5" t="s">
        <v>1109</v>
      </c>
      <c r="H343" s="4">
        <v>1</v>
      </c>
      <c r="I343" s="2" t="s">
        <v>1110</v>
      </c>
      <c r="J343" s="4" t="s">
        <v>1111</v>
      </c>
      <c r="K343" s="3" t="str">
        <f>HYPERLINK("https://www.google.com/maps/reviews/data=!4m8!14m7!1m6!2m5!1sCi9DQUlRQUNvZENodHljRjlvT25aTWRHVTFha2RhY0RCM2NtaFNZWEpEVjNwVWEzYxAB!2m1!1s0x0:0xd2c23345e585fa42!3m1!1s2@1:CAIQACodChtycF9oOnZMdGU1akdacDB3cmhSYXJDV3pUa3c%7C%7C?hl=en", "View Link")</f>
        <v>View Link</v>
      </c>
      <c r="L343" s="3"/>
    </row>
    <row r="344" spans="1:12" ht="20" customHeight="1">
      <c r="A344" s="2"/>
      <c r="B344" s="2"/>
      <c r="C344" s="2"/>
      <c r="D344" s="2"/>
      <c r="E344" s="3"/>
      <c r="F344" s="4"/>
      <c r="G344" s="5" t="s">
        <v>1112</v>
      </c>
      <c r="H344" s="4">
        <v>1</v>
      </c>
      <c r="I344" s="2" t="s">
        <v>1113</v>
      </c>
      <c r="J344" s="4" t="s">
        <v>1114</v>
      </c>
      <c r="K344" s="3" t="str">
        <f>HYPERLINK("https://www.google.com/maps/reviews/data=!4m8!14m7!1m6!2m5!1sCi9DQUlRQUNvZENodHljRjlvT21GMVgyNXhOelJzVVVGamRGYzVWVXRoWmkxTWFrRRAB!2m1!1s0x0:0xd2c23345e585fa42!3m1!1s2@1:CAIQACodChtycF9oOmF1X25xNzRsUUFjdFc5VUthZi1MakE%7C%7C?hl=en", "View Link")</f>
        <v>View Link</v>
      </c>
      <c r="L344" s="3"/>
    </row>
    <row r="345" spans="1:12" ht="20" customHeight="1">
      <c r="A345" s="2"/>
      <c r="B345" s="2"/>
      <c r="C345" s="2"/>
      <c r="D345" s="2"/>
      <c r="E345" s="3"/>
      <c r="F345" s="4"/>
      <c r="G345" s="5" t="s">
        <v>1115</v>
      </c>
      <c r="H345" s="4">
        <v>1</v>
      </c>
      <c r="I345" s="2" t="s">
        <v>1116</v>
      </c>
      <c r="J345" s="4" t="s">
        <v>1117</v>
      </c>
      <c r="K345" s="3" t="str">
        <f>HYPERLINK("https://www.google.com/maps/reviews/data=!4m8!14m7!1m6!2m5!1sChZDSUhNMG9nS0VJQ0FnTUNnOWNUT2F3EAE!2m1!1s0x0:0xd2c23345e585fa42!3m1!1s2@1:CIHM0ogKEICAgMCg9cTOaw%7C%7C?hl=en", "View Link")</f>
        <v>View Link</v>
      </c>
      <c r="L345" s="3"/>
    </row>
    <row r="346" spans="1:12" ht="20" customHeight="1">
      <c r="A346" s="2"/>
      <c r="B346" s="2"/>
      <c r="C346" s="2"/>
      <c r="D346" s="2"/>
      <c r="E346" s="3"/>
      <c r="F346" s="4"/>
      <c r="G346" s="5" t="s">
        <v>1118</v>
      </c>
      <c r="H346" s="4">
        <v>1</v>
      </c>
      <c r="I346" s="2" t="s">
        <v>1119</v>
      </c>
      <c r="J346" s="4" t="s">
        <v>1120</v>
      </c>
      <c r="K346" s="3" t="str">
        <f>HYPERLINK("https://www.google.com/maps/reviews/data=!4m8!14m7!1m6!2m5!1sChdDSUhNMG9nS0VJQ0FnTURJaHNHOGp3RRAB!2m1!1s0x0:0xd2c23345e585fa42!3m1!1s2@1:CIHM0ogKEICAgMDIhsG8jwE%7C%7C?hl=en", "View Link")</f>
        <v>View Link</v>
      </c>
      <c r="L346" s="3"/>
    </row>
    <row r="347" spans="1:12" ht="20" customHeight="1">
      <c r="A347" s="2"/>
      <c r="B347" s="2"/>
      <c r="C347" s="2"/>
      <c r="D347" s="2"/>
      <c r="E347" s="3"/>
      <c r="F347" s="4"/>
      <c r="G347" s="5" t="s">
        <v>1121</v>
      </c>
      <c r="H347" s="4">
        <v>1</v>
      </c>
      <c r="I347" s="2" t="s">
        <v>1122</v>
      </c>
      <c r="J347" s="4" t="s">
        <v>1123</v>
      </c>
      <c r="K347" s="3" t="str">
        <f>HYPERLINK("https://www.google.com/maps/reviews/data=!4m8!14m7!1m6!2m5!1sCi9DQUlRQUNvZENodHljRjlvT2xkcGRXaHFRVlV5VlhGTlpGQklSMlZGVHkxaFNuYxAB!2m1!1s0x0:0xd2c23345e585fa42!3m1!1s2@1:CAIQACodChtycF9oOldpdWhqQVUyVXFNZFBIR2VFTy1hSnc%7C%7C?hl=en", "View Link")</f>
        <v>View Link</v>
      </c>
      <c r="L347" s="3"/>
    </row>
    <row r="348" spans="1:12" ht="20" customHeight="1">
      <c r="A348" s="2"/>
      <c r="B348" s="2"/>
      <c r="C348" s="2"/>
      <c r="D348" s="2"/>
      <c r="E348" s="3"/>
      <c r="F348" s="4"/>
      <c r="G348" s="5" t="s">
        <v>1124</v>
      </c>
      <c r="H348" s="4">
        <v>1</v>
      </c>
      <c r="I348" s="2" t="s">
        <v>1125</v>
      </c>
      <c r="J348" s="4" t="s">
        <v>1126</v>
      </c>
      <c r="K348" s="3" t="str">
        <f>HYPERLINK("https://www.google.com/maps/reviews/data=!4m8!14m7!1m6!2m5!1sChdDSUhNMG9nS0VJQ0FnSUNubWR5WDdRRRAB!2m1!1s0x0:0xd2c23345e585fa42!3m1!1s2@1:CIHM0ogKEICAgICnmdyX7QE%7C%7C?hl=en", "View Link")</f>
        <v>View Link</v>
      </c>
      <c r="L348" s="3"/>
    </row>
    <row r="349" spans="1:12" ht="20" customHeight="1">
      <c r="A349" s="2"/>
      <c r="B349" s="2"/>
      <c r="C349" s="2"/>
      <c r="D349" s="2"/>
      <c r="E349" s="3"/>
      <c r="F349" s="4"/>
      <c r="G349" s="5" t="s">
        <v>1127</v>
      </c>
      <c r="H349" s="4">
        <v>1</v>
      </c>
      <c r="I349" s="2" t="s">
        <v>1128</v>
      </c>
      <c r="J349" s="4" t="s">
        <v>1129</v>
      </c>
      <c r="K349" s="3" t="str">
        <f>HYPERLINK("https://www.google.com/maps/reviews/data=!4m8!14m7!1m6!2m5!1sChZDSUhNMG9nS0VJQ0FnTUNBNWRuSVVBEAE!2m1!1s0x0:0xd2c23345e585fa42!3m1!1s2@1:CIHM0ogKEICAgMCA5dnIUA%7C%7C?hl=en", "View Link")</f>
        <v>View Link</v>
      </c>
      <c r="L349" s="3"/>
    </row>
    <row r="350" spans="1:12" ht="20" customHeight="1">
      <c r="A350" s="2"/>
      <c r="B350" s="2"/>
      <c r="C350" s="2"/>
      <c r="D350" s="2"/>
      <c r="E350" s="3"/>
      <c r="F350" s="4"/>
      <c r="G350" s="5" t="s">
        <v>1130</v>
      </c>
      <c r="H350" s="4">
        <v>1</v>
      </c>
      <c r="I350" s="2" t="s">
        <v>1131</v>
      </c>
      <c r="J350" s="4" t="s">
        <v>1132</v>
      </c>
      <c r="K350" s="3" t="str">
        <f>HYPERLINK("https://www.google.com/maps/reviews/data=!4m8!14m7!1m6!2m5!1sCi9DQUlRQUNvZENodHljRjlvT205UGRVUTFWemRDWTNFelptSkJMVk5rTXpoUWFHYxAB!2m1!1s0x0:0xd2c23345e585fa42!3m1!1s2@1:CAIQACodChtycF9oOm9PdUQ1VzdCY3EzZmJBLVNkMzhQaGc%7C%7C?hl=en", "View Link")</f>
        <v>View Link</v>
      </c>
      <c r="L350" s="3"/>
    </row>
    <row r="351" spans="1:12" ht="20" customHeight="1">
      <c r="A351" s="2"/>
      <c r="B351" s="2"/>
      <c r="C351" s="2"/>
      <c r="D351" s="2"/>
      <c r="E351" s="3"/>
      <c r="F351" s="4"/>
      <c r="G351" s="5" t="s">
        <v>1133</v>
      </c>
      <c r="H351" s="4">
        <v>1</v>
      </c>
      <c r="I351" s="2" t="s">
        <v>1134</v>
      </c>
      <c r="J351" s="4" t="s">
        <v>1135</v>
      </c>
      <c r="K351" s="3" t="str">
        <f>HYPERLINK("https://www.google.com/maps/reviews/data=!4m8!14m7!1m6!2m5!1sCi9DQUlRQUNvZENodHljRjlvT2pabWVXRTJUbWRWVkUxc1ExWm1SazkyUWw4M05FRRAB!2m1!1s0x0:0xd2c23345e585fa42!3m1!1s2@1:CAIQACodChtycF9oOjZmeWE2TmdVVE1sQ1ZmRk92Ql83NEE%7C%7C?hl=en", "View Link")</f>
        <v>View Link</v>
      </c>
      <c r="L351" s="3"/>
    </row>
    <row r="352" spans="1:12" ht="20" customHeight="1">
      <c r="A352" s="2"/>
      <c r="B352" s="2"/>
      <c r="C352" s="2"/>
      <c r="D352" s="2"/>
      <c r="E352" s="3"/>
      <c r="F352" s="4"/>
      <c r="G352" s="5" t="s">
        <v>1136</v>
      </c>
      <c r="H352" s="4">
        <v>1</v>
      </c>
      <c r="I352" s="2" t="s">
        <v>1137</v>
      </c>
      <c r="J352" s="4" t="s">
        <v>1138</v>
      </c>
      <c r="K352" s="3" t="str">
        <f>HYPERLINK("https://www.google.com/maps/reviews/data=!4m8!14m7!1m6!2m5!1sChZDSUhNMG9nS0VJQ0FnSURCM1pDZ0JREAE!2m1!1s0x0:0xd2c23345e585fa42!3m1!1s2@1:CIHM0ogKEICAgIDB3ZCgBQ%7C%7C?hl=en", "View Link")</f>
        <v>View Link</v>
      </c>
      <c r="L352" s="3"/>
    </row>
    <row r="353" spans="1:12" ht="20" customHeight="1">
      <c r="A353" s="2"/>
      <c r="B353" s="2"/>
      <c r="C353" s="2"/>
      <c r="D353" s="2"/>
      <c r="E353" s="3"/>
      <c r="F353" s="4"/>
      <c r="G353" s="5" t="s">
        <v>1139</v>
      </c>
      <c r="H353" s="4">
        <v>1</v>
      </c>
      <c r="I353" s="2" t="s">
        <v>1140</v>
      </c>
      <c r="J353" s="4" t="s">
        <v>1141</v>
      </c>
      <c r="K353" s="3" t="str">
        <f>HYPERLINK("https://www.google.com/maps/reviews/data=!4m8!14m7!1m6!2m5!1sChdDSUhNMG9nS0VJQ0FnSURuOWJEZGhnRRAB!2m1!1s0x0:0xd2c23345e585fa42!3m1!1s2@1:CIHM0ogKEICAgIDn9bDdhgE%7C%7C?hl=en", "View Link")</f>
        <v>View Link</v>
      </c>
      <c r="L353" s="3"/>
    </row>
    <row r="354" spans="1:12" ht="20" customHeight="1">
      <c r="A354" s="2"/>
      <c r="B354" s="2"/>
      <c r="C354" s="2"/>
      <c r="D354" s="2"/>
      <c r="E354" s="3"/>
      <c r="F354" s="4"/>
      <c r="G354" s="5" t="s">
        <v>1142</v>
      </c>
      <c r="H354" s="4">
        <v>1</v>
      </c>
      <c r="I354" s="2" t="s">
        <v>1143</v>
      </c>
      <c r="J354" s="4" t="s">
        <v>1144</v>
      </c>
      <c r="K354" s="3" t="str">
        <f>HYPERLINK("https://www.google.com/maps/reviews/data=!4m8!14m7!1m6!2m5!1sChdDSUhNMG9nS0VJQ0FnSURua1pMUm13RRAB!2m1!1s0x0:0xd2c23345e585fa42!3m1!1s2@1:CIHM0ogKEICAgIDnkZLRmwE%7C%7C?hl=en", "View Link")</f>
        <v>View Link</v>
      </c>
      <c r="L354" s="3"/>
    </row>
    <row r="355" spans="1:12" ht="20" customHeight="1">
      <c r="A355" s="2"/>
      <c r="B355" s="2"/>
      <c r="C355" s="2"/>
      <c r="D355" s="2"/>
      <c r="E355" s="3"/>
      <c r="F355" s="4"/>
      <c r="G355" s="5" t="s">
        <v>1145</v>
      </c>
      <c r="H355" s="4">
        <v>1</v>
      </c>
      <c r="I355" s="2" t="s">
        <v>1146</v>
      </c>
      <c r="J355" s="4" t="s">
        <v>1147</v>
      </c>
      <c r="K355" s="3" t="str">
        <f>HYPERLINK("https://www.google.com/maps/reviews/data=!4m8!14m7!1m6!2m5!1sChdDSUhNMG9nS0VJQ0FnSURQeUw2aV93RRAB!2m1!1s0x0:0xd2c23345e585fa42!3m1!1s2@1:CIHM0ogKEICAgIDPyL6i_wE%7C%7C?hl=en", "View Link")</f>
        <v>View Link</v>
      </c>
      <c r="L355" s="3"/>
    </row>
    <row r="356" spans="1:12" ht="20" customHeight="1">
      <c r="A356" s="2"/>
      <c r="B356" s="2"/>
      <c r="C356" s="2"/>
      <c r="D356" s="2"/>
      <c r="E356" s="3"/>
      <c r="F356" s="4"/>
      <c r="G356" s="5" t="s">
        <v>1148</v>
      </c>
      <c r="H356" s="4">
        <v>1</v>
      </c>
      <c r="I356" s="2" t="s">
        <v>1149</v>
      </c>
      <c r="J356" s="4" t="s">
        <v>1150</v>
      </c>
      <c r="K356" s="3" t="str">
        <f>HYPERLINK("https://www.google.com/maps/reviews/data=!4m8!14m7!1m6!2m5!1sChdDSUhNMG9nS0VONnMxZlhhLU5hcnVRRRAB!2m1!1s0x0:0xd2c23345e585fa42!3m1!1s2@1:CIHM0ogKEN6s1fXa-NaruQE%7C%7C?hl=en", "View Link")</f>
        <v>View Link</v>
      </c>
      <c r="L356" s="3"/>
    </row>
    <row r="357" spans="1:12" ht="20" customHeight="1">
      <c r="A357" s="2"/>
      <c r="B357" s="2"/>
      <c r="C357" s="2"/>
      <c r="D357" s="2"/>
      <c r="E357" s="3"/>
      <c r="F357" s="4"/>
      <c r="G357" s="5" t="s">
        <v>1151</v>
      </c>
      <c r="H357" s="4">
        <v>1</v>
      </c>
      <c r="I357" s="2" t="s">
        <v>1152</v>
      </c>
      <c r="J357" s="4" t="s">
        <v>1153</v>
      </c>
      <c r="K357" s="3" t="str">
        <f>HYPERLINK("https://www.google.com/maps/reviews/data=!4m8!14m7!1m6!2m5!1sChdDSUhNMG9nS0VJQ0FnSUNQOU16Y3pRRRAB!2m1!1s0x0:0xd2c23345e585fa42!3m1!1s2@1:CIHM0ogKEICAgICP9MzczQE%7C%7C?hl=en", "View Link")</f>
        <v>View Link</v>
      </c>
      <c r="L357" s="3"/>
    </row>
    <row r="358" spans="1:12" ht="20" customHeight="1">
      <c r="A358" s="2"/>
      <c r="B358" s="2"/>
      <c r="C358" s="2"/>
      <c r="D358" s="2"/>
      <c r="E358" s="3"/>
      <c r="F358" s="4"/>
      <c r="G358" s="5" t="s">
        <v>1154</v>
      </c>
      <c r="H358" s="4">
        <v>1</v>
      </c>
      <c r="I358" s="2" t="s">
        <v>1155</v>
      </c>
      <c r="J358" s="4" t="s">
        <v>1156</v>
      </c>
      <c r="K358" s="3" t="str">
        <f>HYPERLINK("https://www.google.com/maps/reviews/data=!4m8!14m7!1m6!2m5!1sChdDSUhNMG9nS0VJQ0FnSUMtODVQaV93RRAB!2m1!1s0x0:0xd2c23345e585fa42!3m1!1s2@1:CIHM0ogKEICAgIC-85Pi_wE%7C%7C?hl=en", "View Link")</f>
        <v>View Link</v>
      </c>
      <c r="L358" s="3"/>
    </row>
    <row r="359" spans="1:12" ht="20" customHeight="1">
      <c r="A359" s="2"/>
      <c r="B359" s="2"/>
      <c r="C359" s="2"/>
      <c r="D359" s="2"/>
      <c r="E359" s="3"/>
      <c r="F359" s="4"/>
      <c r="G359" s="5" t="s">
        <v>1157</v>
      </c>
      <c r="H359" s="4">
        <v>1</v>
      </c>
      <c r="I359" s="2" t="s">
        <v>1158</v>
      </c>
      <c r="J359" s="4" t="s">
        <v>1159</v>
      </c>
      <c r="K359" s="3" t="str">
        <f>HYPERLINK("https://www.google.com/maps/reviews/data=!4m8!14m7!1m6!2m5!1sChdDSUhNMG9nS0VJQ0FnSUR0eVlTMF9nRRAB!2m1!1s0x0:0xd2c23345e585fa42!3m1!1s2@1:CIHM0ogKEICAgIDtyYS0_gE%7C%7C?hl=en", "View Link")</f>
        <v>View Link</v>
      </c>
      <c r="L359" s="3"/>
    </row>
    <row r="360" spans="1:12" ht="20" customHeight="1">
      <c r="A360" s="2" t="s">
        <v>1160</v>
      </c>
      <c r="B360" s="2" t="s">
        <v>1161</v>
      </c>
      <c r="C360" s="2" t="s">
        <v>1162</v>
      </c>
      <c r="D360" s="2" t="s">
        <v>89</v>
      </c>
      <c r="E360" s="3">
        <f>HYPERLINK("https://ememujer.com/", "Visit Website")</f>
        <v>0</v>
      </c>
      <c r="F360" s="4">
        <v>4.2</v>
      </c>
      <c r="G360" s="5" t="s">
        <v>1163</v>
      </c>
      <c r="H360" s="4">
        <v>1</v>
      </c>
      <c r="I360" s="2" t="s">
        <v>1164</v>
      </c>
      <c r="J360" s="4" t="s">
        <v>1165</v>
      </c>
      <c r="K360" s="3" t="str">
        <f>HYPERLINK("https://www.google.com/maps/reviews/data=!4m8!14m7!1m6!2m5!1sCi9DQUlRQUNvZENodHljRjlvT205U1VXZHZXWFpXUlZodVJVTkxTWGRsUlhwWGFVRRAB!2m1!1s0x0:0xbd6fc20fb7fbb5c5!3m1!1s2@1:CAIQACodChtycF9oOm9SUWdvWXZWRVhuRUNLSXdlRXpXaUE%7C%7C?hl=en", "View Link")</f>
        <v>View Link</v>
      </c>
      <c r="L360" s="3">
        <f>HYPERLINK("https://www.google.com/maps/search/?api=1&amp;query=eMe%20cl%C3%ADnica&amp;query_place_id=ChIJreM1Im63Yw0RxbX7tw_Cb70", "Open Map")</f>
        <v>0</v>
      </c>
    </row>
    <row r="361" spans="1:12" ht="20" customHeight="1">
      <c r="A361" s="2"/>
      <c r="B361" s="2"/>
      <c r="C361" s="2"/>
      <c r="D361" s="2"/>
      <c r="E361" s="3"/>
      <c r="F361" s="4"/>
      <c r="G361" s="5" t="s">
        <v>1166</v>
      </c>
      <c r="H361" s="4">
        <v>1</v>
      </c>
      <c r="I361" s="2" t="s">
        <v>1167</v>
      </c>
      <c r="J361" s="4" t="s">
        <v>1168</v>
      </c>
      <c r="K361" s="3" t="str">
        <f>HYPERLINK("https://www.google.com/maps/reviews/data=!4m8!14m7!1m6!2m5!1sChZDSUhNMG9nS0VJQ0FnTURBNWNLZ05nEAE!2m1!1s0x0:0xbd6fc20fb7fbb5c5!3m1!1s2@1:CIHM0ogKEICAgMDA5cKgNg%7C%7C?hl=en", "View Link")</f>
        <v>View Link</v>
      </c>
      <c r="L361" s="3"/>
    </row>
    <row r="362" spans="1:12" ht="20" customHeight="1">
      <c r="A362" s="2"/>
      <c r="B362" s="2"/>
      <c r="C362" s="2"/>
      <c r="D362" s="2"/>
      <c r="E362" s="3"/>
      <c r="F362" s="4"/>
      <c r="G362" s="5" t="s">
        <v>1169</v>
      </c>
      <c r="H362" s="4">
        <v>1</v>
      </c>
      <c r="I362" s="2" t="s">
        <v>1170</v>
      </c>
      <c r="J362" s="4" t="s">
        <v>1171</v>
      </c>
      <c r="K362" s="3" t="str">
        <f>HYPERLINK("https://www.google.com/maps/reviews/data=!4m8!14m7!1m6!2m5!1sCi9DQUlRQUNvZENodHljRjlvT25SM2IxRjBZWGRSYm5oTlR6VmhURkp1ZDJGd2JFRRAB!2m1!1s0x0:0xbd6fc20fb7fbb5c5!3m1!1s2@1:CAIQACodChtycF9oOnR3b1F0YXdRbnhNTzVhTFJud2FwbEE%7C%7C?hl=en", "View Link")</f>
        <v>View Link</v>
      </c>
      <c r="L362" s="3"/>
    </row>
    <row r="363" spans="1:12" ht="20" customHeight="1">
      <c r="A363" s="2"/>
      <c r="B363" s="2"/>
      <c r="C363" s="2"/>
      <c r="D363" s="2"/>
      <c r="E363" s="3"/>
      <c r="F363" s="4"/>
      <c r="G363" s="5" t="s">
        <v>1172</v>
      </c>
      <c r="H363" s="4">
        <v>1</v>
      </c>
      <c r="I363" s="2" t="s">
        <v>1173</v>
      </c>
      <c r="J363" s="4" t="s">
        <v>1174</v>
      </c>
      <c r="K363" s="3" t="str">
        <f>HYPERLINK("https://www.google.com/maps/reviews/data=!4m8!14m7!1m6!2m5!1sCi9DQUlRQUNvZENodHljRjlvT25nemNXbDFaa2hTTFhWMGNsWk1XRVpKTWxGcVFXYxAB!2m1!1s0x0:0xbd6fc20fb7fbb5c5!3m1!1s2@1:CAIQACodChtycF9oOngzcWl1ZkhSLXV0clZMWEZJMlFqQWc%7C%7C?hl=en", "View Link")</f>
        <v>View Link</v>
      </c>
      <c r="L363" s="3"/>
    </row>
    <row r="364" spans="1:12" ht="20" customHeight="1">
      <c r="A364" s="2"/>
      <c r="B364" s="2"/>
      <c r="C364" s="2"/>
      <c r="D364" s="2"/>
      <c r="E364" s="3"/>
      <c r="F364" s="4"/>
      <c r="G364" s="5" t="s">
        <v>1175</v>
      </c>
      <c r="H364" s="4">
        <v>1</v>
      </c>
      <c r="I364" s="2"/>
      <c r="J364" s="4" t="s">
        <v>1176</v>
      </c>
      <c r="K364" s="3" t="str">
        <f>HYPERLINK("https://www.google.com/maps/reviews/data=!4m8!14m7!1m6!2m5!1sCi9DQUlRQUNvZENodHljRjlvT2s5WE5HZHNUM0pZUjJkM2QzRmhPSEJaZWw5QmEzYxAB!2m1!1s0x0:0xbd6fc20fb7fbb5c5!3m1!1s2@1:CAIQACodChtycF9oOk9XNGdsT3JYR2d3d3FhOHBZel9Ba3c%7C%7C?hl=en", "View Link")</f>
        <v>View Link</v>
      </c>
      <c r="L364" s="3"/>
    </row>
    <row r="365" spans="1:12" ht="20" customHeight="1">
      <c r="A365" s="2" t="s">
        <v>1177</v>
      </c>
      <c r="B365" s="2" t="s">
        <v>1178</v>
      </c>
      <c r="C365" s="2" t="s">
        <v>1179</v>
      </c>
      <c r="D365" s="2" t="s">
        <v>1180</v>
      </c>
      <c r="E365" s="3">
        <f>HYPERLINK("https://vithas.es/centro/vithas-centro-medico-limonar/", "Visit Website")</f>
        <v>0</v>
      </c>
      <c r="F365" s="4">
        <v>2.5</v>
      </c>
      <c r="G365" s="5" t="s">
        <v>1181</v>
      </c>
      <c r="H365" s="4">
        <v>1</v>
      </c>
      <c r="I365" s="2" t="s">
        <v>1182</v>
      </c>
      <c r="J365" s="4" t="s">
        <v>1183</v>
      </c>
      <c r="K365" s="3" t="str">
        <f>HYPERLINK("https://www.google.com/maps/reviews/data=!4m8!14m7!1m6!2m5!1sChZDSUhNMG9nS0VJQ0FnSUNkM3JEeENnEAE!2m1!1s0x0:0xeb67eab409d827ef!3m1!1s2@1:CIHM0ogKEICAgICd3rDxCg%7C%7C?hl=en", "View Link")</f>
        <v>View Link</v>
      </c>
      <c r="L365" s="3">
        <f>HYPERLINK("https://www.google.com/maps/search/?api=1&amp;query=Vithas%20Centro%20M%C3%A9dico%20Limonar&amp;query_place_id=ChIJ90C9ANj3cg0R7yfYCbTqZ-s", "Open Map")</f>
        <v>0</v>
      </c>
    </row>
    <row r="366" spans="1:12" ht="20" customHeight="1">
      <c r="A366" s="2"/>
      <c r="B366" s="2"/>
      <c r="C366" s="2"/>
      <c r="D366" s="2"/>
      <c r="E366" s="3"/>
      <c r="F366" s="4"/>
      <c r="G366" s="5" t="s">
        <v>1184</v>
      </c>
      <c r="H366" s="4">
        <v>1</v>
      </c>
      <c r="I366" s="2" t="s">
        <v>1185</v>
      </c>
      <c r="J366" s="4" t="s">
        <v>1186</v>
      </c>
      <c r="K366" s="3" t="str">
        <f>HYPERLINK("https://www.google.com/maps/reviews/data=!4m8!14m7!1m6!2m5!1sChdDSUhNMG9nS0VJQ0FnSURwdnB5bHB3RRAB!2m1!1s0x0:0xeb67eab409d827ef!3m1!1s2@1:CIHM0ogKEICAgIDpvpylpwE%7C%7C?hl=en", "View Link")</f>
        <v>View Link</v>
      </c>
      <c r="L366" s="3"/>
    </row>
    <row r="367" spans="1:12" ht="20" customHeight="1">
      <c r="A367" s="2"/>
      <c r="B367" s="2"/>
      <c r="C367" s="2"/>
      <c r="D367" s="2"/>
      <c r="E367" s="3"/>
      <c r="F367" s="4"/>
      <c r="G367" s="5" t="s">
        <v>1187</v>
      </c>
      <c r="H367" s="4">
        <v>1</v>
      </c>
      <c r="I367" s="2" t="s">
        <v>1188</v>
      </c>
      <c r="J367" s="4" t="s">
        <v>1189</v>
      </c>
      <c r="K367" s="3" t="str">
        <f>HYPERLINK("https://www.google.com/maps/reviews/data=!4m8!14m7!1m6!2m5!1sChZDSUhNMG9nS0VJQ0FnSURGMjdIUFR3EAE!2m1!1s0x0:0xeb67eab409d827ef!3m1!1s2@1:CIHM0ogKEICAgIDF27HPTw%7C%7C?hl=en", "View Link")</f>
        <v>View Link</v>
      </c>
      <c r="L367" s="3"/>
    </row>
    <row r="368" spans="1:12" ht="20" customHeight="1">
      <c r="A368" s="2"/>
      <c r="B368" s="2"/>
      <c r="C368" s="2"/>
      <c r="D368" s="2"/>
      <c r="E368" s="3"/>
      <c r="F368" s="4"/>
      <c r="G368" s="5" t="s">
        <v>1190</v>
      </c>
      <c r="H368" s="4">
        <v>1</v>
      </c>
      <c r="I368" s="2" t="s">
        <v>1191</v>
      </c>
      <c r="J368" s="4" t="s">
        <v>1192</v>
      </c>
      <c r="K368" s="3" t="str">
        <f>HYPERLINK("https://www.google.com/maps/reviews/data=!4m8!14m7!1m6!2m5!1sChZDSUhNMG9nS0VJQ0FnSUNSajZMdE53EAE!2m1!1s0x0:0xeb67eab409d827ef!3m1!1s2@1:CIHM0ogKEICAgICRj6LtNw%7C%7C?hl=en", "View Link")</f>
        <v>View Link</v>
      </c>
      <c r="L368" s="3"/>
    </row>
    <row r="369" spans="1:12" ht="20" customHeight="1">
      <c r="A369" s="2"/>
      <c r="B369" s="2"/>
      <c r="C369" s="2"/>
      <c r="D369" s="2"/>
      <c r="E369" s="3"/>
      <c r="F369" s="4"/>
      <c r="G369" s="5" t="s">
        <v>1193</v>
      </c>
      <c r="H369" s="4">
        <v>1</v>
      </c>
      <c r="I369" s="2" t="s">
        <v>1194</v>
      </c>
      <c r="J369" s="4" t="s">
        <v>1195</v>
      </c>
      <c r="K369" s="3" t="str">
        <f>HYPERLINK("https://www.google.com/maps/reviews/data=!4m8!14m7!1m6!2m5!1sCi9DQUlRQUNvZENodHljRjlvT2xWUFZuWjZOaTFXYkRoR1VtRk5lVFV3VEhCeldGRRAB!2m1!1s0x0:0xeb67eab409d827ef!3m1!1s2@1:CAIQACodChtycF9oOlVPVnZ6Ni1WbDhGUmFNeTUwTHBzWFE%7C%7C?hl=en", "View Link")</f>
        <v>View Link</v>
      </c>
      <c r="L369" s="3"/>
    </row>
    <row r="370" spans="1:12" ht="20" customHeight="1">
      <c r="A370" s="2"/>
      <c r="B370" s="2"/>
      <c r="C370" s="2"/>
      <c r="D370" s="2"/>
      <c r="E370" s="3"/>
      <c r="F370" s="4"/>
      <c r="G370" s="5" t="s">
        <v>1196</v>
      </c>
      <c r="H370" s="4">
        <v>1</v>
      </c>
      <c r="I370" s="2" t="s">
        <v>1197</v>
      </c>
      <c r="J370" s="4" t="s">
        <v>1198</v>
      </c>
      <c r="K370" s="3" t="str">
        <f>HYPERLINK("https://www.google.com/maps/reviews/data=!4m8!14m7!1m6!2m5!1sChdDSUhNMG9nS0VJQ0FnSUNKbU1yaDlBRRAB!2m1!1s0x0:0xeb67eab409d827ef!3m1!1s2@1:CIHM0ogKEICAgICJmMrh9AE%7C%7C?hl=en", "View Link")</f>
        <v>View Link</v>
      </c>
      <c r="L370" s="3"/>
    </row>
    <row r="371" spans="1:12" ht="20" customHeight="1">
      <c r="A371" s="2"/>
      <c r="B371" s="2"/>
      <c r="C371" s="2"/>
      <c r="D371" s="2"/>
      <c r="E371" s="3"/>
      <c r="F371" s="4"/>
      <c r="G371" s="5" t="s">
        <v>1199</v>
      </c>
      <c r="H371" s="4">
        <v>1</v>
      </c>
      <c r="I371" s="2" t="s">
        <v>1200</v>
      </c>
      <c r="J371" s="4" t="s">
        <v>1201</v>
      </c>
      <c r="K371" s="3" t="str">
        <f>HYPERLINK("https://www.google.com/maps/reviews/data=!4m8!14m7!1m6!2m5!1sCi9DQUlRQUNvZENodHljRjlvT21GMFUyOTBURXREVEdKMlFXZ3hPWFJJYUVKSGMyYxAB!2m1!1s0x0:0xeb67eab409d827ef!3m1!1s2@1:CAIQACodChtycF9oOmF0U290TEtDTGJ2QWgxOXRIaEJHc2c%7C%7C?hl=en", "View Link")</f>
        <v>View Link</v>
      </c>
      <c r="L371" s="3"/>
    </row>
    <row r="372" spans="1:12" ht="20" customHeight="1">
      <c r="A372" s="2"/>
      <c r="B372" s="2"/>
      <c r="C372" s="2"/>
      <c r="D372" s="2"/>
      <c r="E372" s="3"/>
      <c r="F372" s="4"/>
      <c r="G372" s="5" t="s">
        <v>1202</v>
      </c>
      <c r="H372" s="4">
        <v>1</v>
      </c>
      <c r="I372" s="2" t="s">
        <v>1203</v>
      </c>
      <c r="J372" s="4" t="s">
        <v>1204</v>
      </c>
      <c r="K372" s="3" t="str">
        <f>HYPERLINK("https://www.google.com/maps/reviews/data=!4m8!14m7!1m6!2m5!1sCi9DQUlRQUNvZENodHljRjlvT2xST1pVaFlXV2hxV0VkcmRYUTRXREpoV1U5aWJsRRAB!2m1!1s0x0:0xeb67eab409d827ef!3m1!1s2@1:CAIQACodChtycF9oOlROZUhYWWhqWEdrdXQ4WDJhWU9iblE%7C%7C?hl=en", "View Link")</f>
        <v>View Link</v>
      </c>
      <c r="L372" s="3"/>
    </row>
    <row r="373" spans="1:12" ht="20" customHeight="1">
      <c r="A373" s="2"/>
      <c r="B373" s="2"/>
      <c r="C373" s="2"/>
      <c r="D373" s="2"/>
      <c r="E373" s="3"/>
      <c r="F373" s="4"/>
      <c r="G373" s="5" t="s">
        <v>1205</v>
      </c>
      <c r="H373" s="4">
        <v>1</v>
      </c>
      <c r="I373" s="2" t="s">
        <v>1206</v>
      </c>
      <c r="J373" s="4" t="s">
        <v>1207</v>
      </c>
      <c r="K373" s="3" t="str">
        <f>HYPERLINK("https://www.google.com/maps/reviews/data=!4m8!14m7!1m6!2m5!1sCi9DQUlRQUNvZENodHljRjlvT21Od1IzVlhjakJRWkZObmRVcFNObnBJYzFORFptYxAB!2m1!1s0x0:0xeb67eab409d827ef!3m1!1s2@1:CAIQACodChtycF9oOmNwR3VXcjBQZFNndUpSNnpIc1NDZmc%7C%7C?hl=en", "View Link")</f>
        <v>View Link</v>
      </c>
      <c r="L373" s="3"/>
    </row>
    <row r="374" spans="1:12" ht="20" customHeight="1">
      <c r="A374" s="2"/>
      <c r="B374" s="2"/>
      <c r="C374" s="2"/>
      <c r="D374" s="2"/>
      <c r="E374" s="3"/>
      <c r="F374" s="4"/>
      <c r="G374" s="5" t="s">
        <v>1208</v>
      </c>
      <c r="H374" s="4">
        <v>1</v>
      </c>
      <c r="I374" s="2" t="s">
        <v>1209</v>
      </c>
      <c r="J374" s="4" t="s">
        <v>1210</v>
      </c>
      <c r="K374" s="3" t="str">
        <f>HYPERLINK("https://www.google.com/maps/reviews/data=!4m8!14m7!1m6!2m5!1sCi9DQUlRQUNvZENodHljRjlvT2w4eFZscE9TMkZoYzNocVEyTkVjVmhLTlhnd05WRRAB!2m1!1s0x0:0xeb67eab409d827ef!3m1!1s2@1:CAIQACodChtycF9oOl8xVlpOS2Fhc3hqQ2NEcVhKNXgwNVE%7C%7C?hl=en", "View Link")</f>
        <v>View Link</v>
      </c>
      <c r="L374" s="3"/>
    </row>
    <row r="375" spans="1:12" ht="20" customHeight="1">
      <c r="A375" s="2"/>
      <c r="B375" s="2"/>
      <c r="C375" s="2"/>
      <c r="D375" s="2"/>
      <c r="E375" s="3"/>
      <c r="F375" s="4"/>
      <c r="G375" s="5" t="s">
        <v>1211</v>
      </c>
      <c r="H375" s="4">
        <v>1</v>
      </c>
      <c r="I375" s="2" t="s">
        <v>1212</v>
      </c>
      <c r="J375" s="4" t="s">
        <v>1213</v>
      </c>
      <c r="K375" s="3" t="str">
        <f>HYPERLINK("https://www.google.com/maps/reviews/data=!4m8!14m7!1m6!2m5!1sCi9DQUlRQUNvZENodHljRjlvT21Kek4yWklMVU5QWkd0UWIwTk5WbGxDTkc5UE5GRRAB!2m1!1s0x0:0xeb67eab409d827ef!3m1!1s2@1:CAIQACodChtycF9oOmJzN2ZILUNPZGtQb0NNVllCNG9PNFE%7C%7C?hl=en", "View Link")</f>
        <v>View Link</v>
      </c>
      <c r="L375" s="3"/>
    </row>
    <row r="376" spans="1:12" ht="20" customHeight="1">
      <c r="A376" s="2"/>
      <c r="B376" s="2"/>
      <c r="C376" s="2"/>
      <c r="D376" s="2"/>
      <c r="E376" s="3"/>
      <c r="F376" s="4"/>
      <c r="G376" s="5" t="s">
        <v>1214</v>
      </c>
      <c r="H376" s="4">
        <v>1</v>
      </c>
      <c r="I376" s="2" t="s">
        <v>1215</v>
      </c>
      <c r="J376" s="4" t="s">
        <v>1216</v>
      </c>
      <c r="K376" s="3" t="str">
        <f>HYPERLINK("https://www.google.com/maps/reviews/data=!4m8!14m7!1m6!2m5!1sCi9DQUlRQUNvZENodHljRjlvT21sWmN6bHZXa1ZKZHpSS1JrMUhSVmd4UTBwc1RVRRAB!2m1!1s0x0:0xeb67eab409d827ef!3m1!1s2@1:CAIQACodChtycF9oOmlZczlvWkVJdzRKRk1HRVgxQ0psTUE%7C%7C?hl=en", "View Link")</f>
        <v>View Link</v>
      </c>
      <c r="L376" s="3"/>
    </row>
    <row r="377" spans="1:12" ht="20" customHeight="1">
      <c r="A377" s="2"/>
      <c r="B377" s="2"/>
      <c r="C377" s="2"/>
      <c r="D377" s="2"/>
      <c r="E377" s="3"/>
      <c r="F377" s="4"/>
      <c r="G377" s="5" t="s">
        <v>1217</v>
      </c>
      <c r="H377" s="4">
        <v>1</v>
      </c>
      <c r="I377" s="2" t="s">
        <v>1218</v>
      </c>
      <c r="J377" s="4" t="s">
        <v>1219</v>
      </c>
      <c r="K377" s="3" t="str">
        <f>HYPERLINK("https://www.google.com/maps/reviews/data=!4m8!14m7!1m6!2m5!1sCi9DQUlRQUNvZENodHljRjlvT2tNdFpsQlhPVmhLT1hKUVdXdG9hbEJzWVVrdE5FRRAB!2m1!1s0x0:0xeb67eab409d827ef!3m1!1s2@1:CAIQACodChtycF9oOkMtZlBXOVhKOXJQWWtoalBsYUktNEE%7C%7C?hl=en", "View Link")</f>
        <v>View Link</v>
      </c>
      <c r="L377" s="3"/>
    </row>
    <row r="378" spans="1:12" ht="20" customHeight="1">
      <c r="A378" s="2"/>
      <c r="B378" s="2"/>
      <c r="C378" s="2"/>
      <c r="D378" s="2"/>
      <c r="E378" s="3"/>
      <c r="F378" s="4"/>
      <c r="G378" s="5" t="s">
        <v>1220</v>
      </c>
      <c r="H378" s="4">
        <v>1</v>
      </c>
      <c r="I378" s="2" t="s">
        <v>1221</v>
      </c>
      <c r="J378" s="4" t="s">
        <v>1222</v>
      </c>
      <c r="K378" s="3" t="str">
        <f>HYPERLINK("https://www.google.com/maps/reviews/data=!4m8!14m7!1m6!2m5!1sCi9DQUlRQUNvZENodHljRjlvT2tKcFRqZFlhemhZZVZreE5uZENiMnhIV25Ka2RuYxAB!2m1!1s0x0:0xeb67eab409d827ef!3m1!1s2@1:CAIQACodChtycF9oOkJpTjdYazhYeVkxNndCb2xHWnJkdnc%7C%7C?hl=en", "View Link")</f>
        <v>View Link</v>
      </c>
      <c r="L378" s="3"/>
    </row>
    <row r="379" spans="1:12" ht="20" customHeight="1">
      <c r="A379" s="2"/>
      <c r="B379" s="2"/>
      <c r="C379" s="2"/>
      <c r="D379" s="2"/>
      <c r="E379" s="3"/>
      <c r="F379" s="4"/>
      <c r="G379" s="5" t="s">
        <v>1223</v>
      </c>
      <c r="H379" s="4">
        <v>1</v>
      </c>
      <c r="I379" s="2" t="s">
        <v>1224</v>
      </c>
      <c r="J379" s="4" t="s">
        <v>1225</v>
      </c>
      <c r="K379" s="3" t="str">
        <f>HYPERLINK("https://www.google.com/maps/reviews/data=!4m8!14m7!1m6!2m5!1sCi9DQUlRQUNvZENodHljRjlvT21aU1VsUmlZa0pNWkdJMWNreDNja1JPTnpCTWFFRRAB!2m1!1s0x0:0xeb67eab409d827ef!3m1!1s2@1:CAIQACodChtycF9oOmZSUlRiYkJMZGI1ckx3ckRONzBMaEE%7C%7C?hl=en", "View Link")</f>
        <v>View Link</v>
      </c>
      <c r="L379" s="3"/>
    </row>
    <row r="380" spans="1:12" ht="20" customHeight="1">
      <c r="A380" s="2"/>
      <c r="B380" s="2"/>
      <c r="C380" s="2"/>
      <c r="D380" s="2"/>
      <c r="E380" s="3"/>
      <c r="F380" s="4"/>
      <c r="G380" s="5" t="s">
        <v>1226</v>
      </c>
      <c r="H380" s="4">
        <v>1</v>
      </c>
      <c r="I380" s="2" t="s">
        <v>1227</v>
      </c>
      <c r="J380" s="4" t="s">
        <v>1228</v>
      </c>
      <c r="K380" s="3" t="str">
        <f>HYPERLINK("https://www.google.com/maps/reviews/data=!4m8!14m7!1m6!2m5!1sChdDSUhNMG9nS0VJQ0FnTURJcHNtVHVRRRAB!2m1!1s0x0:0xeb67eab409d827ef!3m1!1s2@1:CIHM0ogKEICAgMDIpsmTuQE%7C%7C?hl=en", "View Link")</f>
        <v>View Link</v>
      </c>
      <c r="L380" s="3"/>
    </row>
    <row r="381" spans="1:12" ht="20" customHeight="1">
      <c r="A381" s="2"/>
      <c r="B381" s="2"/>
      <c r="C381" s="2"/>
      <c r="D381" s="2"/>
      <c r="E381" s="3"/>
      <c r="F381" s="4"/>
      <c r="G381" s="5" t="s">
        <v>1229</v>
      </c>
      <c r="H381" s="4">
        <v>1</v>
      </c>
      <c r="I381" s="2" t="s">
        <v>1230</v>
      </c>
      <c r="J381" s="4" t="s">
        <v>1231</v>
      </c>
      <c r="K381" s="3" t="str">
        <f>HYPERLINK("https://www.google.com/maps/reviews/data=!4m8!14m7!1m6!2m5!1sCi9DQUlRQUNvZENodHljRjlvT25OdGRWUXRjREUyZUZoS1JIQnhTa0ZzWkV0c1pXYxAB!2m1!1s0x0:0xeb67eab409d827ef!3m1!1s2@1:CAIQACodChtycF9oOnNtdVQtcDE2eFhKRHBxSkFsZEtsZWc%7C%7C?hl=en", "View Link")</f>
        <v>View Link</v>
      </c>
      <c r="L381" s="3"/>
    </row>
    <row r="382" spans="1:12" ht="20" customHeight="1">
      <c r="A382" s="2"/>
      <c r="B382" s="2"/>
      <c r="C382" s="2"/>
      <c r="D382" s="2"/>
      <c r="E382" s="3"/>
      <c r="F382" s="4"/>
      <c r="G382" s="5" t="s">
        <v>1232</v>
      </c>
      <c r="H382" s="4">
        <v>1</v>
      </c>
      <c r="I382" s="2" t="s">
        <v>1233</v>
      </c>
      <c r="J382" s="4" t="s">
        <v>1234</v>
      </c>
      <c r="K382" s="3" t="str">
        <f>HYPERLINK("https://www.google.com/maps/reviews/data=!4m8!14m7!1m6!2m5!1sCi9DQUlRQUNvZENodHljRjlvT2paVGRFRnBlV05pT1V0RloxYzVWbHBHVldWc2VYYxAB!2m1!1s0x0:0xeb67eab409d827ef!3m1!1s2@1:CAIQACodChtycF9oOjZTdEFpeWNiOUtFZ1c5VlpGVWVseXc%7C%7C?hl=en", "View Link")</f>
        <v>View Link</v>
      </c>
      <c r="L382" s="3"/>
    </row>
    <row r="383" spans="1:12" ht="20" customHeight="1">
      <c r="A383" s="2"/>
      <c r="B383" s="2"/>
      <c r="C383" s="2"/>
      <c r="D383" s="2"/>
      <c r="E383" s="3"/>
      <c r="F383" s="4"/>
      <c r="G383" s="5" t="s">
        <v>1235</v>
      </c>
      <c r="H383" s="4">
        <v>1</v>
      </c>
      <c r="I383" s="2" t="s">
        <v>1236</v>
      </c>
      <c r="J383" s="4" t="s">
        <v>1237</v>
      </c>
      <c r="K383" s="3" t="str">
        <f>HYPERLINK("https://www.google.com/maps/reviews/data=!4m8!14m7!1m6!2m5!1sCi9DQUlRQUNvZENodHljRjlvT200MVRVZFJXR1EwUTB4a2FVRllUMVIyUkdRelpHYxAB!2m1!1s0x0:0xeb67eab409d827ef!3m1!1s2@1:CAIQACodChtycF9oOm41TUdRWGQ0Q0xkaUFYT1R2RGQzZGc%7C%7C?hl=en", "View Link")</f>
        <v>View Link</v>
      </c>
      <c r="L383" s="3"/>
    </row>
    <row r="384" spans="1:12" ht="20" customHeight="1">
      <c r="A384" s="2"/>
      <c r="B384" s="2"/>
      <c r="C384" s="2"/>
      <c r="D384" s="2"/>
      <c r="E384" s="3"/>
      <c r="F384" s="4"/>
      <c r="G384" s="5" t="s">
        <v>1238</v>
      </c>
      <c r="H384" s="4">
        <v>1</v>
      </c>
      <c r="I384" s="2" t="s">
        <v>1239</v>
      </c>
      <c r="J384" s="4" t="s">
        <v>1240</v>
      </c>
      <c r="K384" s="3" t="str">
        <f>HYPERLINK("https://www.google.com/maps/reviews/data=!4m8!14m7!1m6!2m5!1sChdDSUhNMG9nS0VJQ0FnTUR3Z3Vfd2p3RRAB!2m1!1s0x0:0xeb67eab409d827ef!3m1!1s2@1:CIHM0ogKEICAgMDwgu_wjwE%7C%7C?hl=en", "View Link")</f>
        <v>View Link</v>
      </c>
      <c r="L384" s="3"/>
    </row>
    <row r="385" spans="1:12" ht="20" customHeight="1">
      <c r="A385" s="2" t="s">
        <v>1241</v>
      </c>
      <c r="B385" s="2" t="s">
        <v>1242</v>
      </c>
      <c r="C385" s="2" t="s">
        <v>1243</v>
      </c>
      <c r="D385" s="2" t="s">
        <v>1244</v>
      </c>
      <c r="E385" s="3">
        <f>HYPERLINK("http://www.clinicadelrio.com/", "Visit Website")</f>
        <v>0</v>
      </c>
      <c r="F385" s="4">
        <v>4.2</v>
      </c>
      <c r="G385" s="5" t="s">
        <v>1245</v>
      </c>
      <c r="H385" s="4">
        <v>1</v>
      </c>
      <c r="I385" s="2" t="s">
        <v>1246</v>
      </c>
      <c r="J385" s="4" t="s">
        <v>1247</v>
      </c>
      <c r="K385" s="3" t="str">
        <f>HYPERLINK("https://www.google.com/maps/reviews/data=!4m8!14m7!1m6!2m5!1sCi9DQUlRQUNvZENodHljRjlvT2xWM2FHWjFhR1YxUzFacFdsbzRhbkZMWm1wMlpXYxAB!2m1!1s0x0:0xaec68642e680b109!3m1!1s2@1:CAIQACodChtycF9oOlV3aGZ1aGV1S1ZpWlo4anFLZmp2ZWc%7C%7C?hl=en", "View Link")</f>
        <v>View Link</v>
      </c>
      <c r="L385" s="3">
        <f>HYPERLINK("https://www.google.com/maps/search/?api=1&amp;query=Cl%C3%ADnica%20del%20R%C3%ADo&amp;query_place_id=ChIJaxyOyxTUDA0RCbGA5kKGxq4", "Open Map")</f>
        <v>0</v>
      </c>
    </row>
    <row r="386" spans="1:12" ht="20" customHeight="1">
      <c r="A386" s="2"/>
      <c r="B386" s="2"/>
      <c r="C386" s="2"/>
      <c r="D386" s="2"/>
      <c r="E386" s="3"/>
      <c r="F386" s="4"/>
      <c r="G386" s="5" t="s">
        <v>1248</v>
      </c>
      <c r="H386" s="4">
        <v>1</v>
      </c>
      <c r="I386" s="2" t="s">
        <v>1249</v>
      </c>
      <c r="J386" s="4" t="s">
        <v>1250</v>
      </c>
      <c r="K386" s="3" t="str">
        <f>HYPERLINK("https://www.google.com/maps/reviews/data=!4m8!14m7!1m6!2m5!1sChdDSUhNMG9nS0VJQ0FnSUQ4M2JUdnRRRRAB!2m1!1s0x0:0xaec68642e680b109!3m1!1s2@1:CIHM0ogKEICAgID83bTvtQE%7C%7C?hl=en", "View Link")</f>
        <v>View Link</v>
      </c>
      <c r="L386" s="3"/>
    </row>
    <row r="387" spans="1:12" ht="20" customHeight="1">
      <c r="A387" s="2"/>
      <c r="B387" s="2"/>
      <c r="C387" s="2"/>
      <c r="D387" s="2"/>
      <c r="E387" s="3"/>
      <c r="F387" s="4"/>
      <c r="G387" s="5" t="s">
        <v>1251</v>
      </c>
      <c r="H387" s="4">
        <v>1</v>
      </c>
      <c r="I387" s="2" t="s">
        <v>1252</v>
      </c>
      <c r="J387" s="4" t="s">
        <v>1253</v>
      </c>
      <c r="K387" s="3" t="str">
        <f>HYPERLINK("https://www.google.com/maps/reviews/data=!4m8!14m7!1m6!2m5!1sChdDSUhNMG9nS0VJQ0FnSURKNHQ2WjNBRRAB!2m1!1s0x0:0xaec68642e680b109!3m1!1s2@1:CIHM0ogKEICAgIDJ4t6Z3AE%7C%7C?hl=en", "View Link")</f>
        <v>View Link</v>
      </c>
      <c r="L387" s="3"/>
    </row>
    <row r="388" spans="1:12" ht="20" customHeight="1">
      <c r="A388" s="2"/>
      <c r="B388" s="2"/>
      <c r="C388" s="2"/>
      <c r="D388" s="2"/>
      <c r="E388" s="3"/>
      <c r="F388" s="4"/>
      <c r="G388" s="5" t="s">
        <v>1254</v>
      </c>
      <c r="H388" s="4">
        <v>1</v>
      </c>
      <c r="I388" s="2" t="s">
        <v>1255</v>
      </c>
      <c r="J388" s="4" t="s">
        <v>1256</v>
      </c>
      <c r="K388" s="3" t="str">
        <f>HYPERLINK("https://www.google.com/maps/reviews/data=!4m8!14m7!1m6!2m5!1sChZDSUhNMG9nS0VJQ0FnSURXdk1XSlB3EAE!2m1!1s0x0:0xaec68642e680b109!3m1!1s2@1:CIHM0ogKEICAgIDWvMWJPw%7C%7C?hl=en", "View Link")</f>
        <v>View Link</v>
      </c>
      <c r="L388" s="3"/>
    </row>
    <row r="389" spans="1:12" ht="20" customHeight="1">
      <c r="A389" s="2"/>
      <c r="B389" s="2"/>
      <c r="C389" s="2"/>
      <c r="D389" s="2"/>
      <c r="E389" s="3"/>
      <c r="F389" s="4"/>
      <c r="G389" s="5" t="s">
        <v>1257</v>
      </c>
      <c r="H389" s="4">
        <v>1</v>
      </c>
      <c r="I389" s="2" t="s">
        <v>1258</v>
      </c>
      <c r="J389" s="4" t="s">
        <v>1259</v>
      </c>
      <c r="K389" s="3" t="str">
        <f>HYPERLINK("https://www.google.com/maps/reviews/data=!4m8!14m7!1m6!2m5!1sChZDSUhNMG9nS0VJQ0FnSUMxbktfVlJBEAE!2m1!1s0x0:0xaec68642e680b109!3m1!1s2@1:CIHM0ogKEICAgIC1nK_VRA%7C%7C?hl=en", "View Link")</f>
        <v>View Link</v>
      </c>
      <c r="L389" s="3"/>
    </row>
    <row r="390" spans="1:12" ht="20" customHeight="1">
      <c r="A390" s="2"/>
      <c r="B390" s="2"/>
      <c r="C390" s="2"/>
      <c r="D390" s="2"/>
      <c r="E390" s="3"/>
      <c r="F390" s="4"/>
      <c r="G390" s="5" t="s">
        <v>1260</v>
      </c>
      <c r="H390" s="4">
        <v>1</v>
      </c>
      <c r="I390" s="2" t="s">
        <v>1261</v>
      </c>
      <c r="J390" s="4" t="s">
        <v>1262</v>
      </c>
      <c r="K390" s="3" t="str">
        <f>HYPERLINK("https://www.google.com/maps/reviews/data=!4m8!14m7!1m6!2m5!1sChZDSUhNMG9nS0VJQ0FnSUR5MnFPd0VBEAE!2m1!1s0x0:0xaec68642e680b109!3m1!1s2@1:CIHM0ogKEICAgIDy2qOwEA%7C%7C?hl=en", "View Link")</f>
        <v>View Link</v>
      </c>
      <c r="L390" s="3"/>
    </row>
    <row r="391" spans="1:12" ht="20" customHeight="1">
      <c r="A391" s="2"/>
      <c r="B391" s="2"/>
      <c r="C391" s="2"/>
      <c r="D391" s="2"/>
      <c r="E391" s="3"/>
      <c r="F391" s="4"/>
      <c r="G391" s="5" t="s">
        <v>1263</v>
      </c>
      <c r="H391" s="4">
        <v>1</v>
      </c>
      <c r="I391" s="2" t="s">
        <v>1264</v>
      </c>
      <c r="J391" s="4" t="s">
        <v>1265</v>
      </c>
      <c r="K391" s="3" t="str">
        <f>HYPERLINK("https://www.google.com/maps/reviews/data=!4m8!14m7!1m6!2m5!1sCi9DQUlRQUNvZENodHljRjlvT21RM1prazBXbFJNVjA5M1EyZHFVM0ZsUVZnd1FYYxAB!2m1!1s0x0:0xaec68642e680b109!3m1!1s2@1:CAIQACodChtycF9oOmQ3Zkk0WlRMV093Q2dqU3FlQVgwQXc%7C%7C?hl=en", "View Link")</f>
        <v>View Link</v>
      </c>
      <c r="L391" s="3"/>
    </row>
    <row r="392" spans="1:12" ht="20" customHeight="1">
      <c r="A392" s="2"/>
      <c r="B392" s="2"/>
      <c r="C392" s="2"/>
      <c r="D392" s="2"/>
      <c r="E392" s="3"/>
      <c r="F392" s="4"/>
      <c r="G392" s="5" t="s">
        <v>1266</v>
      </c>
      <c r="H392" s="4">
        <v>1</v>
      </c>
      <c r="I392" s="2" t="s">
        <v>1267</v>
      </c>
      <c r="J392" s="4" t="s">
        <v>1268</v>
      </c>
      <c r="K392" s="3" t="str">
        <f>HYPERLINK("https://www.google.com/maps/reviews/data=!4m8!14m7!1m6!2m5!1sCi9DQUlRQUNvZENodHljRjlvT21wR01ERXdOMGRLYXpkQmVVczRPVjkxU0VvMVQxRRAB!2m1!1s0x0:0xaec68642e680b109!3m1!1s2@1:CAIQACodChtycF9oOmpGMDEwN0dKazdBeUs4OV91SEo1T1E%7C%7C?hl=en", "View Link")</f>
        <v>View Link</v>
      </c>
      <c r="L392" s="3"/>
    </row>
    <row r="393" spans="1:12" ht="20" customHeight="1">
      <c r="A393" s="2"/>
      <c r="B393" s="2"/>
      <c r="C393" s="2"/>
      <c r="D393" s="2"/>
      <c r="E393" s="3"/>
      <c r="F393" s="4"/>
      <c r="G393" s="5" t="s">
        <v>1269</v>
      </c>
      <c r="H393" s="4">
        <v>1</v>
      </c>
      <c r="I393" s="2" t="s">
        <v>1270</v>
      </c>
      <c r="J393" s="4" t="s">
        <v>1271</v>
      </c>
      <c r="K393" s="3" t="str">
        <f>HYPERLINK("https://www.google.com/maps/reviews/data=!4m8!14m7!1m6!2m5!1sCi9DQUlRQUNvZENodHljRjlvT2tONU4xbEdVVFp2Tm5Fd1YycDFlVEJ3ZHpnME4zYxAB!2m1!1s0x0:0xaec68642e680b109!3m1!1s2@1:CAIQACodChtycF9oOkN5N1lGUTZvNnEwV2p1eTBwdzg0N3c%7C%7C?hl=en", "View Link")</f>
        <v>View Link</v>
      </c>
      <c r="L393" s="3"/>
    </row>
    <row r="394" spans="1:12" ht="20" customHeight="1">
      <c r="A394" s="2"/>
      <c r="B394" s="2"/>
      <c r="C394" s="2"/>
      <c r="D394" s="2"/>
      <c r="E394" s="3"/>
      <c r="F394" s="4"/>
      <c r="G394" s="5" t="s">
        <v>1272</v>
      </c>
      <c r="H394" s="4">
        <v>1</v>
      </c>
      <c r="I394" s="2" t="s">
        <v>1273</v>
      </c>
      <c r="J394" s="4" t="s">
        <v>1274</v>
      </c>
      <c r="K394" s="3" t="str">
        <f>HYPERLINK("https://www.google.com/maps/reviews/data=!4m8!14m7!1m6!2m5!1sCi9DQUlRQUNvZENodHljRjlvT21aeWEySmhWemR0WkdsRmJtVjZURUl3UzNveGMzYxAB!2m1!1s0x0:0xaec68642e680b109!3m1!1s2@1:CAIQACodChtycF9oOmZya2JhVzdtZGlFbmV6TEIwS3oxc3c%7C%7C?hl=en", "View Link")</f>
        <v>View Link</v>
      </c>
      <c r="L394" s="3"/>
    </row>
    <row r="395" spans="1:12" ht="20" customHeight="1">
      <c r="A395" s="2"/>
      <c r="B395" s="2"/>
      <c r="C395" s="2"/>
      <c r="D395" s="2"/>
      <c r="E395" s="3"/>
      <c r="F395" s="4"/>
      <c r="G395" s="5" t="s">
        <v>1275</v>
      </c>
      <c r="H395" s="4">
        <v>1</v>
      </c>
      <c r="I395" s="2" t="s">
        <v>1276</v>
      </c>
      <c r="J395" s="4" t="s">
        <v>1277</v>
      </c>
      <c r="K395" s="3" t="str">
        <f>HYPERLINK("https://www.google.com/maps/reviews/data=!4m8!14m7!1m6!2m5!1sChZDSUhNMG9nS0VJQ0FnTURncTRxZktnEAE!2m1!1s0x0:0xaec68642e680b109!3m1!1s2@1:CIHM0ogKEICAgMDgq4qfKg%7C%7C?hl=en", "View Link")</f>
        <v>View Link</v>
      </c>
      <c r="L395" s="3"/>
    </row>
    <row r="396" spans="1:12" ht="20" customHeight="1">
      <c r="A396" s="2"/>
      <c r="B396" s="2"/>
      <c r="C396" s="2"/>
      <c r="D396" s="2"/>
      <c r="E396" s="3"/>
      <c r="F396" s="4"/>
      <c r="G396" s="5" t="s">
        <v>1278</v>
      </c>
      <c r="H396" s="4">
        <v>1</v>
      </c>
      <c r="I396" s="2" t="s">
        <v>1279</v>
      </c>
      <c r="J396" s="4" t="s">
        <v>1280</v>
      </c>
      <c r="K396" s="3" t="str">
        <f>HYPERLINK("https://www.google.com/maps/reviews/data=!4m8!14m7!1m6!2m5!1sChdDSUhNMG9nS0VJQ0FnSUNqdVpXRjlBRRAB!2m1!1s0x0:0xaec68642e680b109!3m1!1s2@1:CIHM0ogKEICAgICjuZWF9AE%7C%7C?hl=en", "View Link")</f>
        <v>View Link</v>
      </c>
      <c r="L396" s="3"/>
    </row>
    <row r="397" spans="1:12" ht="20" customHeight="1">
      <c r="A397" s="2"/>
      <c r="B397" s="2"/>
      <c r="C397" s="2"/>
      <c r="D397" s="2"/>
      <c r="E397" s="3"/>
      <c r="F397" s="4"/>
      <c r="G397" s="5" t="s">
        <v>1281</v>
      </c>
      <c r="H397" s="4">
        <v>1</v>
      </c>
      <c r="I397" s="2" t="s">
        <v>1282</v>
      </c>
      <c r="J397" s="4" t="s">
        <v>1283</v>
      </c>
      <c r="K397" s="3" t="str">
        <f>HYPERLINK("https://www.google.com/maps/reviews/data=!4m8!14m7!1m6!2m5!1sChZDSUhNMG9nS0VJQ0FnSURwME1xS0tnEAE!2m1!1s0x0:0xaec68642e680b109!3m1!1s2@1:CIHM0ogKEICAgIDp0MqKKg%7C%7C?hl=en", "View Link")</f>
        <v>View Link</v>
      </c>
      <c r="L397" s="3"/>
    </row>
    <row r="398" spans="1:12" ht="20" customHeight="1">
      <c r="A398" s="2"/>
      <c r="B398" s="2"/>
      <c r="C398" s="2"/>
      <c r="D398" s="2"/>
      <c r="E398" s="3"/>
      <c r="F398" s="4"/>
      <c r="G398" s="5" t="s">
        <v>1284</v>
      </c>
      <c r="H398" s="4">
        <v>1</v>
      </c>
      <c r="I398" s="2" t="s">
        <v>1285</v>
      </c>
      <c r="J398" s="4" t="s">
        <v>1286</v>
      </c>
      <c r="K398" s="3" t="str">
        <f>HYPERLINK("https://www.google.com/maps/reviews/data=!4m8!14m7!1m6!2m5!1sChZDSUhNMG9nS0VJQ0FnSUNCbUlPYkdnEAE!2m1!1s0x0:0xaec68642e680b109!3m1!1s2@1:CIHM0ogKEICAgICBmIObGg%7C%7C?hl=en", "View Link")</f>
        <v>View Link</v>
      </c>
      <c r="L398" s="3"/>
    </row>
    <row r="399" spans="1:12" ht="20" customHeight="1">
      <c r="A399" s="2"/>
      <c r="B399" s="2"/>
      <c r="C399" s="2"/>
      <c r="D399" s="2"/>
      <c r="E399" s="3"/>
      <c r="F399" s="4"/>
      <c r="G399" s="5" t="s">
        <v>1287</v>
      </c>
      <c r="H399" s="4">
        <v>1</v>
      </c>
      <c r="I399" s="2" t="s">
        <v>1288</v>
      </c>
      <c r="J399" s="4" t="s">
        <v>1289</v>
      </c>
      <c r="K399" s="3" t="str">
        <f>HYPERLINK("https://www.google.com/maps/reviews/data=!4m8!14m7!1m6!2m5!1sChZDSUhNMG9nS0VJQ0FnSURrX09XeUJBEAE!2m1!1s0x0:0xaec68642e680b109!3m1!1s2@1:CIHM0ogKEICAgIDk_OWyBA%7C%7C?hl=en", "View Link")</f>
        <v>View Link</v>
      </c>
      <c r="L399" s="3"/>
    </row>
    <row r="400" spans="1:12" ht="20" customHeight="1">
      <c r="A400" s="2"/>
      <c r="B400" s="2"/>
      <c r="C400" s="2"/>
      <c r="D400" s="2"/>
      <c r="E400" s="3"/>
      <c r="F400" s="4"/>
      <c r="G400" s="5" t="s">
        <v>1290</v>
      </c>
      <c r="H400" s="4">
        <v>1</v>
      </c>
      <c r="I400" s="2" t="s">
        <v>1291</v>
      </c>
      <c r="J400" s="4" t="s">
        <v>1292</v>
      </c>
      <c r="K400" s="3" t="str">
        <f>HYPERLINK("https://www.google.com/maps/reviews/data=!4m8!14m7!1m6!2m5!1sCi9DQUlRQUNvZENodHljRjlvT2twNFRUVklNRXRpVVZsNmRWUnpUSGgwVG5sbVYzYxAB!2m1!1s0x0:0xaec68642e680b109!3m1!1s2@1:CAIQACodChtycF9oOkp4TTVIMEtiUVl6dVRzTHh0TnlmV3c%7C%7C?hl=en", "View Link")</f>
        <v>View Link</v>
      </c>
      <c r="L400" s="3"/>
    </row>
    <row r="401" spans="1:12" ht="20" customHeight="1">
      <c r="A401" s="2"/>
      <c r="B401" s="2"/>
      <c r="C401" s="2"/>
      <c r="D401" s="2"/>
      <c r="E401" s="3"/>
      <c r="F401" s="4"/>
      <c r="G401" s="5" t="s">
        <v>1293</v>
      </c>
      <c r="H401" s="4">
        <v>1</v>
      </c>
      <c r="I401" s="2" t="s">
        <v>1294</v>
      </c>
      <c r="J401" s="4" t="s">
        <v>1295</v>
      </c>
      <c r="K401" s="3" t="str">
        <f>HYPERLINK("https://www.google.com/maps/reviews/data=!4m8!14m7!1m6!2m5!1sChdDSUhNMG9nS0VJQ0FnSURhcHJDbXF3RRAB!2m1!1s0x0:0xaec68642e680b109!3m1!1s2@1:CIHM0ogKEICAgIDaprCmqwE%7C%7C?hl=en", "View Link")</f>
        <v>View Link</v>
      </c>
      <c r="L401" s="3"/>
    </row>
    <row r="402" spans="1:12" ht="20" customHeight="1">
      <c r="A402" s="2"/>
      <c r="B402" s="2"/>
      <c r="C402" s="2"/>
      <c r="D402" s="2"/>
      <c r="E402" s="3"/>
      <c r="F402" s="4"/>
      <c r="G402" s="5" t="s">
        <v>1296</v>
      </c>
      <c r="H402" s="4">
        <v>1</v>
      </c>
      <c r="I402" s="2" t="s">
        <v>1297</v>
      </c>
      <c r="J402" s="4" t="s">
        <v>1298</v>
      </c>
      <c r="K402" s="3" t="str">
        <f>HYPERLINK("https://www.google.com/maps/reviews/data=!4m8!14m7!1m6!2m5!1sChdDSUhNMG9nS0VJQ0FnSURlaHMtay1RRRAB!2m1!1s0x0:0xaec68642e680b109!3m1!1s2@1:CIHM0ogKEICAgIDehs-k-QE%7C%7C?hl=en", "View Link")</f>
        <v>View Link</v>
      </c>
      <c r="L402" s="3"/>
    </row>
    <row r="403" spans="1:12" ht="20" customHeight="1">
      <c r="A403" s="2"/>
      <c r="B403" s="2"/>
      <c r="C403" s="2"/>
      <c r="D403" s="2"/>
      <c r="E403" s="3"/>
      <c r="F403" s="4"/>
      <c r="G403" s="5" t="s">
        <v>1299</v>
      </c>
      <c r="H403" s="4">
        <v>1</v>
      </c>
      <c r="I403" s="2" t="s">
        <v>1300</v>
      </c>
      <c r="J403" s="4" t="s">
        <v>1301</v>
      </c>
      <c r="K403" s="3" t="str">
        <f>HYPERLINK("https://www.google.com/maps/reviews/data=!4m8!14m7!1m6!2m5!1sChZDSUhNMG9nS0VJQ0FnSUNxa29PNk13EAE!2m1!1s0x0:0xaec68642e680b109!3m1!1s2@1:CIHM0ogKEICAgICqkoO6Mw%7C%7C?hl=en", "View Link")</f>
        <v>View Link</v>
      </c>
      <c r="L403" s="3"/>
    </row>
    <row r="404" spans="1:12" ht="20" customHeight="1">
      <c r="A404" s="2"/>
      <c r="B404" s="2"/>
      <c r="C404" s="2"/>
      <c r="D404" s="2"/>
      <c r="E404" s="3"/>
      <c r="F404" s="4"/>
      <c r="G404" s="5" t="s">
        <v>1302</v>
      </c>
      <c r="H404" s="4">
        <v>1</v>
      </c>
      <c r="I404" s="2" t="s">
        <v>1303</v>
      </c>
      <c r="J404" s="4" t="s">
        <v>1304</v>
      </c>
      <c r="K404" s="3" t="str">
        <f>HYPERLINK("https://www.google.com/maps/reviews/data=!4m8!14m7!1m6!2m5!1sChZDSUhNMG9nS0VJQ0FnSUNVbnJtMUZREAE!2m1!1s0x0:0xaec68642e680b109!3m1!1s2@1:CIHM0ogKEICAgICUnrm1FQ%7C%7C?hl=en", "View Link")</f>
        <v>View Link</v>
      </c>
      <c r="L404" s="3"/>
    </row>
    <row r="405" spans="1:12" ht="20" customHeight="1">
      <c r="A405" s="2"/>
      <c r="B405" s="2"/>
      <c r="C405" s="2"/>
      <c r="D405" s="2"/>
      <c r="E405" s="3"/>
      <c r="F405" s="4"/>
      <c r="G405" s="5" t="s">
        <v>1307</v>
      </c>
      <c r="H405" s="4">
        <v>1</v>
      </c>
      <c r="I405" s="2" t="s">
        <v>1308</v>
      </c>
      <c r="J405" s="4" t="s">
        <v>1309</v>
      </c>
      <c r="K405" s="3" t="str">
        <f>HYPERLINK("https://www.google.com/maps/reviews/data=!4m8!14m7!1m6!2m5!1sChZDSUhNMG9nS0VJQ0FnSUNsNkxlbmNREAE!2m1!1s0x0:0xd19f21b9d0d5d0a7!3m1!1s2@1:CIHM0ogKEICAgICl6LencQ%7C%7C?hl=en", "View Link")</f>
        <v>View Link</v>
      </c>
      <c r="L405" s="3"/>
    </row>
    <row r="406" spans="1:12" ht="20" customHeight="1">
      <c r="A406" s="2"/>
      <c r="B406" s="2"/>
      <c r="C406" s="2"/>
      <c r="D406" s="2"/>
      <c r="E406" s="3"/>
      <c r="F406" s="4"/>
      <c r="G406" s="5" t="s">
        <v>1310</v>
      </c>
      <c r="H406" s="4">
        <v>1</v>
      </c>
      <c r="I406" s="2" t="s">
        <v>1311</v>
      </c>
      <c r="J406" s="4" t="s">
        <v>1312</v>
      </c>
      <c r="K406" s="3" t="str">
        <f>HYPERLINK("https://www.google.com/maps/reviews/data=!4m8!14m7!1m6!2m5!1sChdDSUhNMG9nS0VJQ0FnSUNoX1llWjJ3RRAB!2m1!1s0x0:0xd19f21b9d0d5d0a7!3m1!1s2@1:CIHM0ogKEICAgICh_YeZ2wE%7C%7C?hl=en", "View Link")</f>
        <v>View Link</v>
      </c>
      <c r="L406" s="3"/>
    </row>
    <row r="407" spans="1:12" ht="20" customHeight="1">
      <c r="A407" s="2"/>
      <c r="B407" s="2"/>
      <c r="C407" s="2"/>
      <c r="D407" s="2"/>
      <c r="E407" s="3"/>
      <c r="F407" s="4"/>
      <c r="G407" s="5" t="s">
        <v>1313</v>
      </c>
      <c r="H407" s="4">
        <v>1</v>
      </c>
      <c r="I407" s="2" t="s">
        <v>1314</v>
      </c>
      <c r="J407" s="4" t="s">
        <v>1315</v>
      </c>
      <c r="K407" s="3" t="str">
        <f>HYPERLINK("https://www.google.com/maps/reviews/data=!4m8!14m7!1m6!2m5!1sChZDSUhNMG9nS0VJQ0FnSURzOXIzelhBEAE!2m1!1s0x0:0xd19f21b9d0d5d0a7!3m1!1s2@1:CIHM0ogKEICAgIDs9r3zXA%7C%7C?hl=en", "View Link")</f>
        <v>View Link</v>
      </c>
      <c r="L407" s="3"/>
    </row>
    <row r="408" spans="1:12" ht="20" customHeight="1">
      <c r="A408" s="2"/>
      <c r="B408" s="2"/>
      <c r="C408" s="2"/>
      <c r="D408" s="2"/>
      <c r="E408" s="3"/>
      <c r="F408" s="4"/>
      <c r="G408" s="5" t="s">
        <v>1316</v>
      </c>
      <c r="H408" s="4">
        <v>1</v>
      </c>
      <c r="I408" s="2" t="s">
        <v>1317</v>
      </c>
      <c r="J408" s="4" t="s">
        <v>1318</v>
      </c>
      <c r="K408" s="3" t="str">
        <f>HYPERLINK("https://www.google.com/maps/reviews/data=!4m8!14m7!1m6!2m5!1sChZDSUhNMG9nS0VJQ0FnSUNvajdlNVd3EAE!2m1!1s0x0:0xd19f21b9d0d5d0a7!3m1!1s2@1:CIHM0ogKEICAgICoj7e5Ww%7C%7C?hl=en", "View Link")</f>
        <v>View Link</v>
      </c>
      <c r="L408" s="3"/>
    </row>
    <row r="409" spans="1:12" ht="20" customHeight="1">
      <c r="A409" s="2"/>
      <c r="B409" s="2"/>
      <c r="C409" s="2"/>
      <c r="D409" s="2"/>
      <c r="E409" s="3"/>
      <c r="F409" s="4"/>
      <c r="G409" s="5" t="s">
        <v>1319</v>
      </c>
      <c r="H409" s="4">
        <v>1</v>
      </c>
      <c r="I409" s="2" t="s">
        <v>1320</v>
      </c>
      <c r="J409" s="4" t="s">
        <v>1321</v>
      </c>
      <c r="K409" s="3" t="str">
        <f>HYPERLINK("https://www.google.com/maps/reviews/data=!4m8!14m7!1m6!2m5!1sChdDSUhNMG9nS0VJQ0FnSURtMUtmRnR3RRAB!2m1!1s0x0:0xd19f21b9d0d5d0a7!3m1!1s2@1:CIHM0ogKEICAgIDm1KfFtwE%7C%7C?hl=en", "View Link")</f>
        <v>View Link</v>
      </c>
      <c r="L409" s="3"/>
    </row>
    <row r="410" spans="1:12" ht="20" customHeight="1">
      <c r="A410" s="2"/>
      <c r="B410" s="2"/>
      <c r="C410" s="2"/>
      <c r="D410" s="2"/>
      <c r="E410" s="3"/>
      <c r="F410" s="4"/>
      <c r="G410" s="5" t="s">
        <v>1322</v>
      </c>
      <c r="H410" s="4">
        <v>1</v>
      </c>
      <c r="I410" s="2" t="s">
        <v>1323</v>
      </c>
      <c r="J410" s="4" t="s">
        <v>1324</v>
      </c>
      <c r="K410" s="3" t="str">
        <f>HYPERLINK("https://www.google.com/maps/reviews/data=!4m8!14m7!1m6!2m5!1sChdDSUhNMG9nS0VJQ0FnSUNXdl9XZTZnRRAB!2m1!1s0x0:0xd19f21b9d0d5d0a7!3m1!1s2@1:CIHM0ogKEICAgICWv_We6gE%7C%7C?hl=en", "View Link")</f>
        <v>View Link</v>
      </c>
      <c r="L410" s="3"/>
    </row>
    <row r="411" spans="1:12" ht="20" customHeight="1">
      <c r="A411" s="2"/>
      <c r="B411" s="2"/>
      <c r="C411" s="2"/>
      <c r="D411" s="2"/>
      <c r="E411" s="3"/>
      <c r="F411" s="4"/>
      <c r="G411" s="5" t="s">
        <v>1325</v>
      </c>
      <c r="H411" s="4">
        <v>1</v>
      </c>
      <c r="I411" s="2" t="s">
        <v>1326</v>
      </c>
      <c r="J411" s="4" t="s">
        <v>1327</v>
      </c>
      <c r="K411" s="3" t="str">
        <f>HYPERLINK("https://www.google.com/maps/reviews/data=!4m8!14m7!1m6!2m5!1sChdDSUhNMG9nS0VJQ0FnSUNHNC1yb3dBRRAB!2m1!1s0x0:0xd19f21b9d0d5d0a7!3m1!1s2@1:CIHM0ogKEICAgICG4-rowAE%7C%7C?hl=en", "View Link")</f>
        <v>View Link</v>
      </c>
      <c r="L411" s="3"/>
    </row>
    <row r="412" spans="1:12" ht="20" customHeight="1">
      <c r="A412" s="2"/>
      <c r="B412" s="2"/>
      <c r="C412" s="2"/>
      <c r="D412" s="2"/>
      <c r="E412" s="3"/>
      <c r="F412" s="4"/>
      <c r="G412" s="5" t="s">
        <v>1328</v>
      </c>
      <c r="H412" s="4">
        <v>1</v>
      </c>
      <c r="I412" s="2" t="s">
        <v>1329</v>
      </c>
      <c r="J412" s="4" t="s">
        <v>1330</v>
      </c>
      <c r="K412" s="3" t="str">
        <f>HYPERLINK("https://www.google.com/maps/reviews/data=!4m8!14m7!1m6!2m5!1sChZDSUhNMG9nS0VJQ0FnSUNRX05Qd1pnEAE!2m1!1s0x0:0xd19f21b9d0d5d0a7!3m1!1s2@1:CIHM0ogKEICAgICQ_NPwZg%7C%7C?hl=en", "View Link")</f>
        <v>View Link</v>
      </c>
      <c r="L412" s="3"/>
    </row>
    <row r="413" spans="1:12" ht="20" customHeight="1">
      <c r="A413" s="2"/>
      <c r="B413" s="2"/>
      <c r="C413" s="2"/>
      <c r="D413" s="2"/>
      <c r="E413" s="3"/>
      <c r="F413" s="4"/>
      <c r="G413" s="5" t="s">
        <v>1331</v>
      </c>
      <c r="H413" s="4">
        <v>1</v>
      </c>
      <c r="I413" s="2" t="s">
        <v>1332</v>
      </c>
      <c r="J413" s="4" t="s">
        <v>1333</v>
      </c>
      <c r="K413" s="3" t="str">
        <f>HYPERLINK("https://www.google.com/maps/reviews/data=!4m8!14m7!1m6!2m5!1sChdDSUhNMG9nS0VJQ0FnSUM1aXZqbGlRRRAB!2m1!1s0x0:0xd19f21b9d0d5d0a7!3m1!1s2@1:CIHM0ogKEICAgIC5ivjliQE%7C%7C?hl=en", "View Link")</f>
        <v>View Link</v>
      </c>
      <c r="L413" s="3"/>
    </row>
    <row r="414" spans="1:12" ht="20" customHeight="1">
      <c r="A414" s="2"/>
      <c r="B414" s="2"/>
      <c r="C414" s="2"/>
      <c r="D414" s="2"/>
      <c r="E414" s="3"/>
      <c r="F414" s="4"/>
      <c r="G414" s="5" t="s">
        <v>1334</v>
      </c>
      <c r="H414" s="4">
        <v>1</v>
      </c>
      <c r="I414" s="2" t="s">
        <v>1335</v>
      </c>
      <c r="J414" s="4" t="s">
        <v>1336</v>
      </c>
      <c r="K414" s="3" t="str">
        <f>HYPERLINK("https://www.google.com/maps/reviews/data=!4m8!14m7!1m6!2m5!1sChdDSUhNMG9nS0VJQ0FnSUNxNzlUbjdBRRAB!2m1!1s0x0:0xd19f21b9d0d5d0a7!3m1!1s2@1:CIHM0ogKEICAgICq79Tn7AE%7C%7C?hl=en", "View Link")</f>
        <v>View Link</v>
      </c>
      <c r="L414" s="3"/>
    </row>
    <row r="415" spans="1:12" ht="20" customHeight="1">
      <c r="A415" s="2"/>
      <c r="B415" s="2"/>
      <c r="C415" s="2"/>
      <c r="D415" s="2"/>
      <c r="E415" s="3"/>
      <c r="F415" s="4"/>
      <c r="G415" s="5" t="s">
        <v>1337</v>
      </c>
      <c r="H415" s="4">
        <v>1</v>
      </c>
      <c r="I415" s="2" t="s">
        <v>1338</v>
      </c>
      <c r="J415" s="4" t="s">
        <v>1339</v>
      </c>
      <c r="K415" s="3" t="str">
        <f>HYPERLINK("https://www.google.com/maps/reviews/data=!4m8!14m7!1m6!2m5!1sChZDSUhNMG9nS0VJQ0FnSUNKdmNUYUVnEAE!2m1!1s0x0:0xd19f21b9d0d5d0a7!3m1!1s2@1:CIHM0ogKEICAgICJvcTaEg%7C%7C?hl=en", "View Link")</f>
        <v>View Link</v>
      </c>
      <c r="L415" s="3"/>
    </row>
    <row r="416" spans="1:12" ht="20" customHeight="1">
      <c r="A416" s="2"/>
      <c r="B416" s="2"/>
      <c r="C416" s="2"/>
      <c r="D416" s="2"/>
      <c r="E416" s="3"/>
      <c r="F416" s="4"/>
      <c r="G416" s="5" t="s">
        <v>1340</v>
      </c>
      <c r="H416" s="4">
        <v>1</v>
      </c>
      <c r="I416" s="2" t="s">
        <v>1341</v>
      </c>
      <c r="J416" s="4" t="s">
        <v>1342</v>
      </c>
      <c r="K416" s="3" t="str">
        <f>HYPERLINK("https://www.google.com/maps/reviews/data=!4m8!14m7!1m6!2m5!1sCi9DQUlRQUNvZENodHljRjlvT2xkb1RIcDFSMmhEYkdzNFpHWkpTbDlYUms5VWNuYxAB!2m1!1s0x0:0xd19f21b9d0d5d0a7!3m1!1s2@1:CAIQACodChtycF9oOldoTHp1R2hDbGs4ZGZJSl9XRk9Ucnc%7C%7C?hl=en", "View Link")</f>
        <v>View Link</v>
      </c>
      <c r="L416" s="3"/>
    </row>
    <row r="417" spans="1:12" ht="20" customHeight="1">
      <c r="A417" s="2"/>
      <c r="B417" s="2"/>
      <c r="C417" s="2"/>
      <c r="D417" s="2"/>
      <c r="E417" s="3"/>
      <c r="F417" s="4"/>
      <c r="G417" s="5" t="s">
        <v>1343</v>
      </c>
      <c r="H417" s="4">
        <v>1</v>
      </c>
      <c r="I417" s="2" t="s">
        <v>1344</v>
      </c>
      <c r="J417" s="4" t="s">
        <v>1345</v>
      </c>
      <c r="K417" s="3" t="str">
        <f>HYPERLINK("https://www.google.com/maps/reviews/data=!4m8!14m7!1m6!2m5!1sCi9DQUlRQUNvZENodHljRjlvT214cVFVZFJXazlLWDBjMlIybFhWelJDZUdGRGRFRRAB!2m1!1s0x0:0xd19f21b9d0d5d0a7!3m1!1s2@1:CAIQACodChtycF9oOmxqQUdRWk9KX0c2R2lXVzRCeGFDdEE%7C%7C?hl=en", "View Link")</f>
        <v>View Link</v>
      </c>
      <c r="L417" s="3"/>
    </row>
    <row r="418" spans="1:12" ht="20" customHeight="1">
      <c r="A418" s="2"/>
      <c r="B418" s="2"/>
      <c r="C418" s="2"/>
      <c r="D418" s="2"/>
      <c r="E418" s="3"/>
      <c r="F418" s="4"/>
      <c r="G418" s="5" t="s">
        <v>1346</v>
      </c>
      <c r="H418" s="4">
        <v>1</v>
      </c>
      <c r="I418" s="2" t="s">
        <v>1347</v>
      </c>
      <c r="J418" s="4" t="s">
        <v>1348</v>
      </c>
      <c r="K418" s="3" t="str">
        <f>HYPERLINK("https://www.google.com/maps/reviews/data=!4m8!14m7!1m6!2m5!1sCi9DQUlRQUNvZENodHljRjlvT2psWFgwNVlXR1oxYlhseWFGWllWMnd4U1d4UlZVRRAB!2m1!1s0x0:0xd19f21b9d0d5d0a7!3m1!1s2@1:CAIQACodChtycF9oOjlXX05YWGZ1bXlyaFZYV2wxSWxRVUE%7C%7C?hl=en", "View Link")</f>
        <v>View Link</v>
      </c>
      <c r="L418" s="3"/>
    </row>
    <row r="419" spans="1:12" ht="20" customHeight="1">
      <c r="A419" s="2"/>
      <c r="B419" s="2"/>
      <c r="C419" s="2"/>
      <c r="D419" s="2"/>
      <c r="E419" s="3"/>
      <c r="F419" s="4"/>
      <c r="G419" s="5" t="s">
        <v>1349</v>
      </c>
      <c r="H419" s="4">
        <v>1</v>
      </c>
      <c r="I419" s="2" t="s">
        <v>1350</v>
      </c>
      <c r="J419" s="4" t="s">
        <v>1351</v>
      </c>
      <c r="K419" s="3" t="str">
        <f>HYPERLINK("https://www.google.com/maps/reviews/data=!4m8!14m7!1m6!2m5!1sCi9DQUlRQUNvZENodHljRjlvT2poTGMycHdUMU4wUkROVk1tWktVMVpQZFROUWJGRRAB!2m1!1s0x0:0xd19f21b9d0d5d0a7!3m1!1s2@1:CAIQACodChtycF9oOjhLc2pwT1N0RDNVMmZKU1ZPdTNQbFE%7C%7C?hl=en", "View Link")</f>
        <v>View Link</v>
      </c>
      <c r="L419" s="3"/>
    </row>
    <row r="420" spans="1:12" ht="20" customHeight="1">
      <c r="A420" s="2"/>
      <c r="B420" s="2"/>
      <c r="C420" s="2"/>
      <c r="D420" s="2"/>
      <c r="E420" s="3"/>
      <c r="F420" s="4"/>
      <c r="G420" s="5" t="s">
        <v>1352</v>
      </c>
      <c r="H420" s="4">
        <v>1</v>
      </c>
      <c r="I420" s="2" t="s">
        <v>1353</v>
      </c>
      <c r="J420" s="4" t="s">
        <v>1354</v>
      </c>
      <c r="K420" s="3" t="str">
        <f>HYPERLINK("https://www.google.com/maps/reviews/data=!4m8!14m7!1m6!2m5!1sCi9DQUlRQUNvZENodHljRjlvT2psYVNuVTNXVTVaY0hvdFUyVm1PVXgzTUdzMmIxRRAB!2m1!1s0x0:0xd19f21b9d0d5d0a7!3m1!1s2@1:CAIQACodChtycF9oOjlaSnU3WU5ZcHotU2VmOUx3MGs2b1E%7C%7C?hl=en", "View Link")</f>
        <v>View Link</v>
      </c>
      <c r="L420" s="3"/>
    </row>
    <row r="421" spans="1:12" ht="20" customHeight="1">
      <c r="A421" s="2"/>
      <c r="B421" s="2"/>
      <c r="C421" s="2"/>
      <c r="D421" s="2"/>
      <c r="E421" s="3"/>
      <c r="F421" s="4"/>
      <c r="G421" s="5" t="s">
        <v>1355</v>
      </c>
      <c r="H421" s="4">
        <v>1</v>
      </c>
      <c r="I421" s="2" t="s">
        <v>1356</v>
      </c>
      <c r="J421" s="4" t="s">
        <v>1357</v>
      </c>
      <c r="K421" s="3" t="str">
        <f>HYPERLINK("https://www.google.com/maps/reviews/data=!4m8!14m7!1m6!2m5!1sCi9DQUlRQUNvZENodHljRjlvT200d1dEa3haMTlLTkhNd01EWlZNMDR4YVhOU2FsRRAB!2m1!1s0x0:0xd19f21b9d0d5d0a7!3m1!1s2@1:CAIQACodChtycF9oOm4wWDkxZ19KNHMwMDZVM04xaXNSalE%7C%7C?hl=en", "View Link")</f>
        <v>View Link</v>
      </c>
      <c r="L421" s="3"/>
    </row>
    <row r="422" spans="1:12" ht="20" customHeight="1">
      <c r="A422" s="2"/>
      <c r="B422" s="2"/>
      <c r="C422" s="2"/>
      <c r="D422" s="2"/>
      <c r="E422" s="3"/>
      <c r="F422" s="4"/>
      <c r="G422" s="5" t="s">
        <v>1358</v>
      </c>
      <c r="H422" s="4">
        <v>1</v>
      </c>
      <c r="I422" s="2" t="s">
        <v>1359</v>
      </c>
      <c r="J422" s="4" t="s">
        <v>1360</v>
      </c>
      <c r="K422" s="3" t="str">
        <f>HYPERLINK("https://www.google.com/maps/reviews/data=!4m8!14m7!1m6!2m5!1sCi9DQUlRQUNvZENodHljRjlvT21GTldVMXhWVWhZUVdVdFIyczBVMGw2Y1Rsa2VXYxAB!2m1!1s0x0:0xd19f21b9d0d5d0a7!3m1!1s2@1:CAIQACodChtycF9oOmFNWU1xVUhYQWUtR2s0U0l6cTlkeWc%7C%7C?hl=en", "View Link")</f>
        <v>View Link</v>
      </c>
      <c r="L422" s="3"/>
    </row>
    <row r="423" spans="1:12" ht="20" customHeight="1">
      <c r="A423" s="2"/>
      <c r="B423" s="2"/>
      <c r="C423" s="2"/>
      <c r="D423" s="2"/>
      <c r="E423" s="3"/>
      <c r="F423" s="4"/>
      <c r="G423" s="5" t="s">
        <v>1361</v>
      </c>
      <c r="H423" s="4">
        <v>1</v>
      </c>
      <c r="I423" s="2" t="s">
        <v>1362</v>
      </c>
      <c r="J423" s="4" t="s">
        <v>1363</v>
      </c>
      <c r="K423" s="3" t="str">
        <f>HYPERLINK("https://www.google.com/maps/reviews/data=!4m8!14m7!1m6!2m5!1sCi9DQUlRQUNvZENodHljRjlvT21wYU4yNDJZek5yT1ZaeE9VNTVjRFJyYm1KUVVHYxAB!2m1!1s0x0:0xd19f21b9d0d5d0a7!3m1!1s2@1:CAIQACodChtycF9oOmpaN242YzNrOVZxOU55cDRrbmJQUGc%7C%7C?hl=en", "View Link")</f>
        <v>View Link</v>
      </c>
      <c r="L423" s="3"/>
    </row>
    <row r="424" spans="1:12" ht="20" customHeight="1">
      <c r="A424" s="2"/>
      <c r="B424" s="2"/>
      <c r="C424" s="2"/>
      <c r="D424" s="2"/>
      <c r="E424" s="3"/>
      <c r="F424" s="4"/>
      <c r="G424" s="5" t="s">
        <v>1364</v>
      </c>
      <c r="H424" s="4">
        <v>1</v>
      </c>
      <c r="I424" s="2" t="s">
        <v>1365</v>
      </c>
      <c r="J424" s="4" t="s">
        <v>1366</v>
      </c>
      <c r="K424" s="3" t="str">
        <f>HYPERLINK("https://www.google.com/maps/reviews/data=!4m8!14m7!1m6!2m5!1sCi9DQUlRQUNvZENodHljRjlvT25sQ1ExZFFhbE0wVWxNMVRVZHZTVU55VGpaTlFWRRAB!2m1!1s0x0:0xd19f21b9d0d5d0a7!3m1!1s2@1:CAIQACodChtycF9oOnlCQ1dQalM0UlM1TUdvSUNyTjZNQVE%7C%7C?hl=en", "View Link")</f>
        <v>View Link</v>
      </c>
      <c r="L424" s="3"/>
    </row>
    <row r="425" spans="1:12" ht="20" customHeight="1">
      <c r="A425" s="2" t="s">
        <v>1367</v>
      </c>
      <c r="B425" s="2" t="s">
        <v>1368</v>
      </c>
      <c r="C425" s="2" t="s">
        <v>1369</v>
      </c>
      <c r="D425" s="2" t="s">
        <v>1370</v>
      </c>
      <c r="E425" s="3">
        <f>HYPERLINK("https://www.clinicaelcampanario.com/", "Visit Website")</f>
        <v>0</v>
      </c>
      <c r="F425" s="4">
        <v>4</v>
      </c>
      <c r="G425" s="5" t="s">
        <v>1371</v>
      </c>
      <c r="H425" s="4">
        <v>1</v>
      </c>
      <c r="I425" s="2" t="s">
        <v>1372</v>
      </c>
      <c r="J425" s="4" t="s">
        <v>1373</v>
      </c>
      <c r="K425" s="3" t="str">
        <f>HYPERLINK("https://www.google.com/maps/reviews/data=!4m8!14m7!1m6!2m5!1sCi9DQUlRQUNvZENodHljRjlvT2xWeU1HSkhOa3BOUTFwdWMySlJZbVZsYTNoYVpVRRAB!2m1!1s0x0:0x5e2327d01523bf1c!3m1!1s2@1:CAIQACodChtycF9oOlVyMGJHNkpNQ1puc2JRYmVla3haZUE%7C%7C?hl=en", "View Link")</f>
        <v>View Link</v>
      </c>
      <c r="L425" s="3">
        <f>HYPERLINK("https://www.google.com/maps/search/?api=1&amp;query=Clinic%20El%20Campanario&amp;query_place_id=ChIJ38VEx6Xhcg0RHL8jFdAnI14", "Open Map")</f>
        <v>0</v>
      </c>
    </row>
    <row r="426" spans="1:12" ht="20" customHeight="1">
      <c r="A426" s="2"/>
      <c r="B426" s="2"/>
      <c r="C426" s="2"/>
      <c r="D426" s="2"/>
      <c r="E426" s="3"/>
      <c r="F426" s="4"/>
      <c r="G426" s="5" t="s">
        <v>1374</v>
      </c>
      <c r="H426" s="4">
        <v>1</v>
      </c>
      <c r="I426" s="2" t="s">
        <v>1375</v>
      </c>
      <c r="J426" s="4" t="s">
        <v>1376</v>
      </c>
      <c r="K426" s="3" t="str">
        <f>HYPERLINK("https://www.google.com/maps/reviews/data=!4m8!14m7!1m6!2m5!1sCi9DQUlRQUNvZENodHljRjlvT21aa1ZYVTBMV2N0V0VSV00ydFFSMUpUVkZoU1FVRRAB!2m1!1s0x0:0x5e2327d01523bf1c!3m1!1s2@1:CAIQACodChtycF9oOmZkVXU0LWctWERWM2tQR1JTVFhSQUE%7C%7C?hl=en", "View Link")</f>
        <v>View Link</v>
      </c>
      <c r="L426" s="3"/>
    </row>
    <row r="427" spans="1:12" ht="20" customHeight="1">
      <c r="A427" s="2"/>
      <c r="B427" s="2"/>
      <c r="C427" s="2"/>
      <c r="D427" s="2"/>
      <c r="E427" s="3"/>
      <c r="F427" s="4"/>
      <c r="G427" s="5" t="s">
        <v>1377</v>
      </c>
      <c r="H427" s="4">
        <v>1</v>
      </c>
      <c r="I427" s="2" t="s">
        <v>1378</v>
      </c>
      <c r="J427" s="4" t="s">
        <v>1379</v>
      </c>
      <c r="K427" s="3" t="str">
        <f>HYPERLINK("https://www.google.com/maps/reviews/data=!4m8!14m7!1m6!2m5!1sChZDSUhNMG9nS0VJQ0FnSUNRc3JlTUZnEAE!2m1!1s0x0:0x5e2327d01523bf1c!3m1!1s2@1:CIHM0ogKEICAgICQsreMFg%7C%7C?hl=en", "View Link")</f>
        <v>View Link</v>
      </c>
      <c r="L427" s="3"/>
    </row>
    <row r="428" spans="1:12" ht="20" customHeight="1">
      <c r="A428" s="2"/>
      <c r="B428" s="2"/>
      <c r="C428" s="2"/>
      <c r="D428" s="2"/>
      <c r="E428" s="3"/>
      <c r="F428" s="4"/>
      <c r="G428" s="5" t="s">
        <v>1380</v>
      </c>
      <c r="H428" s="4">
        <v>1</v>
      </c>
      <c r="I428" s="2" t="s">
        <v>1381</v>
      </c>
      <c r="J428" s="4" t="s">
        <v>1382</v>
      </c>
      <c r="K428" s="3" t="str">
        <f>HYPERLINK("https://www.google.com/maps/reviews/data=!4m8!14m7!1m6!2m5!1sChZDSUhNMG9nS0VJQ0FnSUMweHAtZ2ZBEAE!2m1!1s0x0:0x5e2327d01523bf1c!3m1!1s2@1:CIHM0ogKEICAgIC0xp-gfA%7C%7C?hl=en", "View Link")</f>
        <v>View Link</v>
      </c>
      <c r="L428" s="3"/>
    </row>
    <row r="429" spans="1:12" ht="20" customHeight="1">
      <c r="A429" s="2"/>
      <c r="B429" s="2"/>
      <c r="C429" s="2"/>
      <c r="D429" s="2"/>
      <c r="E429" s="3"/>
      <c r="F429" s="4"/>
      <c r="G429" s="5" t="s">
        <v>1383</v>
      </c>
      <c r="H429" s="4">
        <v>1</v>
      </c>
      <c r="I429" s="2" t="s">
        <v>1384</v>
      </c>
      <c r="J429" s="4" t="s">
        <v>1385</v>
      </c>
      <c r="K429" s="3" t="str">
        <f>HYPERLINK("https://www.google.com/maps/reviews/data=!4m8!14m7!1m6!2m5!1sChdDSUhNMG9nS0VJQ0FnSUNHbTdHMmhnRRAB!2m1!1s0x0:0x5e2327d01523bf1c!3m1!1s2@1:CIHM0ogKEICAgICGm7G2hgE%7C%7C?hl=en", "View Link")</f>
        <v>View Link</v>
      </c>
      <c r="L429" s="3"/>
    </row>
    <row r="430" spans="1:12" ht="20" customHeight="1">
      <c r="A430" s="2"/>
      <c r="B430" s="2"/>
      <c r="C430" s="2"/>
      <c r="D430" s="2"/>
      <c r="E430" s="3"/>
      <c r="F430" s="4"/>
      <c r="G430" s="5" t="s">
        <v>1386</v>
      </c>
      <c r="H430" s="4">
        <v>1</v>
      </c>
      <c r="I430" s="2" t="s">
        <v>1387</v>
      </c>
      <c r="J430" s="4" t="s">
        <v>1388</v>
      </c>
      <c r="K430" s="3" t="str">
        <f>HYPERLINK("https://www.google.com/maps/reviews/data=!4m8!14m7!1m6!2m5!1sChdDSUhNMG9nS0VJQ0FnTUNncWZXaTBBRRAB!2m1!1s0x0:0x5e2327d01523bf1c!3m1!1s2@1:CIHM0ogKEICAgMCgqfWi0AE%7C%7C?hl=en", "View Link")</f>
        <v>View Link</v>
      </c>
      <c r="L430" s="3"/>
    </row>
    <row r="431" spans="1:12" ht="20" customHeight="1">
      <c r="A431" s="2"/>
      <c r="B431" s="2"/>
      <c r="C431" s="2"/>
      <c r="D431" s="2"/>
      <c r="E431" s="3"/>
      <c r="F431" s="4"/>
      <c r="G431" s="5" t="s">
        <v>1389</v>
      </c>
      <c r="H431" s="4">
        <v>1</v>
      </c>
      <c r="I431" s="2" t="s">
        <v>1390</v>
      </c>
      <c r="J431" s="4" t="s">
        <v>1391</v>
      </c>
      <c r="K431" s="3" t="str">
        <f>HYPERLINK("https://www.google.com/maps/reviews/data=!4m8!14m7!1m6!2m5!1sChZDSUhNMG9nS0VJQ0FnSUNwaXQ2WWJnEAE!2m1!1s0x0:0x5e2327d01523bf1c!3m1!1s2@1:CIHM0ogKEICAgICpit6Ybg%7C%7C?hl=en", "View Link")</f>
        <v>View Link</v>
      </c>
      <c r="L431" s="3"/>
    </row>
    <row r="432" spans="1:12" ht="20" customHeight="1">
      <c r="A432" s="2"/>
      <c r="B432" s="2"/>
      <c r="C432" s="2"/>
      <c r="D432" s="2"/>
      <c r="E432" s="3"/>
      <c r="F432" s="4"/>
      <c r="G432" s="5" t="s">
        <v>1392</v>
      </c>
      <c r="H432" s="4">
        <v>1</v>
      </c>
      <c r="I432" s="2" t="s">
        <v>1393</v>
      </c>
      <c r="J432" s="4" t="s">
        <v>1394</v>
      </c>
      <c r="K432" s="3" t="str">
        <f>HYPERLINK("https://www.google.com/maps/reviews/data=!4m8!14m7!1m6!2m5!1sCi9DQUlRQUNvZENodHljRjlvT2s4d1VtWndSVmhSVUhOM1duZGllSGRXUkRKM1IyYxAB!2m1!1s0x0:0x5e2327d01523bf1c!3m1!1s2@1:CAIQACodChtycF9oOk8wUmZwRVhRUHN3WndieHdWRDJ3R2c%7C%7C?hl=en", "View Link")</f>
        <v>View Link</v>
      </c>
      <c r="L432" s="3"/>
    </row>
    <row r="433" spans="1:12" ht="20" customHeight="1">
      <c r="A433" s="2"/>
      <c r="B433" s="2"/>
      <c r="C433" s="2"/>
      <c r="D433" s="2"/>
      <c r="E433" s="3"/>
      <c r="F433" s="4"/>
      <c r="G433" s="5" t="s">
        <v>1395</v>
      </c>
      <c r="H433" s="4">
        <v>1</v>
      </c>
      <c r="I433" s="2" t="s">
        <v>1396</v>
      </c>
      <c r="J433" s="4" t="s">
        <v>1397</v>
      </c>
      <c r="K433" s="3" t="str">
        <f>HYPERLINK("https://www.google.com/maps/reviews/data=!4m8!14m7!1m6!2m5!1sCi9DQUlRQUNvZENodHljRjlvT2psa2FrcDFOekZTYVVnMWVHNHpWWGxDTVZGblVrRRAB!2m1!1s0x0:0x5e2327d01523bf1c!3m1!1s2@1:CAIQACodChtycF9oOjlkakp1NzFSaUg1eG4zVXlCMVFnUkE%7C%7C?hl=en", "View Link")</f>
        <v>View Link</v>
      </c>
      <c r="L433" s="3"/>
    </row>
    <row r="434" spans="1:12" ht="20" customHeight="1">
      <c r="A434" s="2"/>
      <c r="B434" s="2"/>
      <c r="C434" s="2"/>
      <c r="D434" s="2"/>
      <c r="E434" s="3"/>
      <c r="F434" s="4"/>
      <c r="G434" s="5" t="s">
        <v>1398</v>
      </c>
      <c r="H434" s="4">
        <v>1</v>
      </c>
      <c r="I434" s="2" t="s">
        <v>1399</v>
      </c>
      <c r="J434" s="4" t="s">
        <v>1400</v>
      </c>
      <c r="K434" s="3" t="str">
        <f>HYPERLINK("https://www.google.com/maps/reviews/data=!4m8!14m7!1m6!2m5!1sCi9DQUlRQUNvZENodHljRjlvT2kxTWVrZE9PVE13VW10QlJXUTFVM2d0U0ZsUGFuYxAB!2m1!1s0x0:0x5e2327d01523bf1c!3m1!1s2@1:CAIQACodChtycF9oOi1MekdOOTMwUmtBRWQ1U3gtSFlPanc%7C%7C?hl=en", "View Link")</f>
        <v>View Link</v>
      </c>
      <c r="L434" s="3"/>
    </row>
    <row r="435" spans="1:12" ht="20" customHeight="1">
      <c r="A435" s="2"/>
      <c r="B435" s="2"/>
      <c r="C435" s="2"/>
      <c r="D435" s="2"/>
      <c r="E435" s="3"/>
      <c r="F435" s="4"/>
      <c r="G435" s="5" t="s">
        <v>1401</v>
      </c>
      <c r="H435" s="4">
        <v>1</v>
      </c>
      <c r="I435" s="2" t="s">
        <v>1402</v>
      </c>
      <c r="J435" s="4" t="s">
        <v>1403</v>
      </c>
      <c r="K435" s="3" t="str">
        <f>HYPERLINK("https://www.google.com/maps/reviews/data=!4m8!14m7!1m6!2m5!1sChZDSUhNMG9nS0VJQ0FnSURYMGVtdERBEAE!2m1!1s0x0:0x5e2327d01523bf1c!3m1!1s2@1:CIHM0ogKEICAgIDX0emtDA%7C%7C?hl=en", "View Link")</f>
        <v>View Link</v>
      </c>
      <c r="L435" s="3"/>
    </row>
    <row r="436" spans="1:12" ht="20" customHeight="1">
      <c r="A436" s="2"/>
      <c r="B436" s="2"/>
      <c r="C436" s="2"/>
      <c r="D436" s="2"/>
      <c r="E436" s="3"/>
      <c r="F436" s="4"/>
      <c r="G436" s="5" t="s">
        <v>1404</v>
      </c>
      <c r="H436" s="4">
        <v>1</v>
      </c>
      <c r="I436" s="2" t="s">
        <v>1405</v>
      </c>
      <c r="J436" s="4" t="s">
        <v>1406</v>
      </c>
      <c r="K436" s="3" t="str">
        <f>HYPERLINK("https://www.google.com/maps/reviews/data=!4m8!14m7!1m6!2m5!1sChZDSUhNMG9nS0VMSHJyZVRRcmJmWk5BEAE!2m1!1s0x0:0x5e2327d01523bf1c!3m1!1s2@1:CIHM0ogKELHrreTQrbfZNA%7C%7C?hl=en", "View Link")</f>
        <v>View Link</v>
      </c>
      <c r="L436" s="3"/>
    </row>
    <row r="437" spans="1:12" ht="20" customHeight="1">
      <c r="A437" s="2"/>
      <c r="B437" s="2"/>
      <c r="C437" s="2"/>
      <c r="D437" s="2"/>
      <c r="E437" s="3"/>
      <c r="F437" s="4"/>
      <c r="G437" s="5" t="s">
        <v>1407</v>
      </c>
      <c r="H437" s="4">
        <v>1</v>
      </c>
      <c r="I437" s="2" t="s">
        <v>1408</v>
      </c>
      <c r="J437" s="4" t="s">
        <v>1409</v>
      </c>
      <c r="K437" s="3" t="str">
        <f>HYPERLINK("https://www.google.com/maps/reviews/data=!4m8!14m7!1m6!2m5!1sChZDSUhNMG9nS0VJQ0FnSURoMzdlU05REAE!2m1!1s0x0:0x5e2327d01523bf1c!3m1!1s2@1:CIHM0ogKEICAgIDh37eSNQ%7C%7C?hl=en", "View Link")</f>
        <v>View Link</v>
      </c>
      <c r="L437" s="3"/>
    </row>
    <row r="438" spans="1:12" ht="20" customHeight="1">
      <c r="A438" s="2"/>
      <c r="B438" s="2"/>
      <c r="C438" s="2"/>
      <c r="D438" s="2"/>
      <c r="E438" s="3"/>
      <c r="F438" s="4"/>
      <c r="G438" s="5" t="s">
        <v>1410</v>
      </c>
      <c r="H438" s="4">
        <v>1</v>
      </c>
      <c r="I438" s="2" t="s">
        <v>1411</v>
      </c>
      <c r="J438" s="4" t="s">
        <v>1412</v>
      </c>
      <c r="K438" s="3" t="str">
        <f>HYPERLINK("https://www.google.com/maps/reviews/data=!4m8!14m7!1m6!2m5!1sChZDSUhNMG9nS0VJQ0FnSURkcXAtcWZREAE!2m1!1s0x0:0x5e2327d01523bf1c!3m1!1s2@1:CIHM0ogKEICAgIDdqp-qfQ%7C%7C?hl=en", "View Link")</f>
        <v>View Link</v>
      </c>
      <c r="L438" s="3"/>
    </row>
    <row r="439" spans="1:12" ht="20" customHeight="1">
      <c r="A439" s="2"/>
      <c r="B439" s="2"/>
      <c r="C439" s="2"/>
      <c r="D439" s="2"/>
      <c r="E439" s="3"/>
      <c r="F439" s="4"/>
      <c r="G439" s="5" t="s">
        <v>1413</v>
      </c>
      <c r="H439" s="4">
        <v>1</v>
      </c>
      <c r="I439" s="2" t="s">
        <v>1414</v>
      </c>
      <c r="J439" s="4" t="s">
        <v>1415</v>
      </c>
      <c r="K439" s="3" t="str">
        <f>HYPERLINK("https://www.google.com/maps/reviews/data=!4m8!14m7!1m6!2m5!1sChdDSUhNMG9nS0VJQ0FnSUNweHRxXzJ3RRAB!2m1!1s0x0:0x5e2327d01523bf1c!3m1!1s2@1:CIHM0ogKEICAgICpxtq_2wE%7C%7C?hl=en", "View Link")</f>
        <v>View Link</v>
      </c>
      <c r="L439" s="3"/>
    </row>
    <row r="440" spans="1:12" ht="20" customHeight="1">
      <c r="A440" s="2"/>
      <c r="B440" s="2"/>
      <c r="C440" s="2"/>
      <c r="D440" s="2"/>
      <c r="E440" s="3"/>
      <c r="F440" s="4"/>
      <c r="G440" s="5" t="s">
        <v>1416</v>
      </c>
      <c r="H440" s="4">
        <v>1</v>
      </c>
      <c r="I440" s="2" t="s">
        <v>1417</v>
      </c>
      <c r="J440" s="4" t="s">
        <v>1418</v>
      </c>
      <c r="K440" s="3" t="str">
        <f>HYPERLINK("https://www.google.com/maps/reviews/data=!4m8!14m7!1m6!2m5!1sChZDSUhNMG9nS0VJQ0FnSURtaG9pZ2Z3EAE!2m1!1s0x0:0x5e2327d01523bf1c!3m1!1s2@1:CIHM0ogKEICAgIDmhoigfw%7C%7C?hl=en", "View Link")</f>
        <v>View Link</v>
      </c>
      <c r="L440" s="3"/>
    </row>
    <row r="441" spans="1:12" ht="20" customHeight="1">
      <c r="A441" s="2"/>
      <c r="B441" s="2"/>
      <c r="C441" s="2"/>
      <c r="D441" s="2"/>
      <c r="E441" s="3"/>
      <c r="F441" s="4"/>
      <c r="G441" s="5" t="s">
        <v>1419</v>
      </c>
      <c r="H441" s="4">
        <v>1</v>
      </c>
      <c r="I441" s="2"/>
      <c r="J441" s="4" t="s">
        <v>1420</v>
      </c>
      <c r="K441" s="3" t="str">
        <f>HYPERLINK("https://www.google.com/maps/reviews/data=!4m8!14m7!1m6!2m5!1sChdDSUhNMG9nS0VJQ0FnSUR2aXRIcm5nRRAB!2m1!1s0x0:0x5e2327d01523bf1c!3m1!1s2@1:CIHM0ogKEICAgIDvitHrngE%7C%7C?hl=en", "View Link")</f>
        <v>View Link</v>
      </c>
      <c r="L441" s="3"/>
    </row>
    <row r="442" spans="1:12" ht="20" customHeight="1">
      <c r="A442" s="2"/>
      <c r="B442" s="2"/>
      <c r="C442" s="2"/>
      <c r="D442" s="2"/>
      <c r="E442" s="3"/>
      <c r="F442" s="4"/>
      <c r="G442" s="5" t="s">
        <v>1421</v>
      </c>
      <c r="H442" s="4">
        <v>2</v>
      </c>
      <c r="I442" s="2" t="s">
        <v>1422</v>
      </c>
      <c r="J442" s="4" t="s">
        <v>1423</v>
      </c>
      <c r="K442" s="3" t="str">
        <f>HYPERLINK("https://www.google.com/maps/reviews/data=!4m8!14m7!1m6!2m5!1sCi9DQUlRQUNvZENodHljRjlvT2swM2JGOW1iRGMwTlhkaWMxZ3pTak5YTVVGWGNsRRAB!2m1!1s0x0:0x5e2327d01523bf1c!3m1!1s2@1:CAIQACodChtycF9oOk03bF9mbDc0NXdic1gzSjNXMUFXclE%7C%7C?hl=en", "View Link")</f>
        <v>View Link</v>
      </c>
      <c r="L442" s="3"/>
    </row>
    <row r="443" spans="1:12" ht="20" customHeight="1">
      <c r="A443" s="2"/>
      <c r="B443" s="2"/>
      <c r="C443" s="2"/>
      <c r="D443" s="2"/>
      <c r="E443" s="3"/>
      <c r="F443" s="4"/>
      <c r="G443" s="5" t="s">
        <v>1424</v>
      </c>
      <c r="H443" s="4">
        <v>2</v>
      </c>
      <c r="I443" s="2" t="s">
        <v>1425</v>
      </c>
      <c r="J443" s="4" t="s">
        <v>1426</v>
      </c>
      <c r="K443" s="3" t="str">
        <f>HYPERLINK("https://www.google.com/maps/reviews/data=!4m8!14m7!1m6!2m5!1sChZDSUhNMG9nS0VJQ0FnTUNBOThMS1JBEAE!2m1!1s0x0:0x5e2327d01523bf1c!3m1!1s2@1:CIHM0ogKEICAgMCA98LKRA%7C%7C?hl=en", "View Link")</f>
        <v>View Link</v>
      </c>
      <c r="L443" s="3"/>
    </row>
    <row r="444" spans="1:12" ht="20" customHeight="1">
      <c r="A444" s="2"/>
      <c r="B444" s="2"/>
      <c r="C444" s="2"/>
      <c r="D444" s="2"/>
      <c r="E444" s="3"/>
      <c r="F444" s="4"/>
      <c r="G444" s="5" t="s">
        <v>1427</v>
      </c>
      <c r="H444" s="4">
        <v>2</v>
      </c>
      <c r="I444" s="2" t="s">
        <v>1428</v>
      </c>
      <c r="J444" s="4" t="s">
        <v>1429</v>
      </c>
      <c r="K444" s="3" t="str">
        <f>HYPERLINK("https://www.google.com/maps/reviews/data=!4m8!14m7!1m6!2m5!1sChZDSUhNMG9nS0VJQ0FnSUNvdklIakZnEAE!2m1!1s0x0:0x5e2327d01523bf1c!3m1!1s2@1:CIHM0ogKEICAgICovIHjFg%7C%7C?hl=en", "View Link")</f>
        <v>View Link</v>
      </c>
      <c r="L444" s="3"/>
    </row>
    <row r="445" spans="1:12" ht="20" customHeight="1">
      <c r="A445" s="2" t="s">
        <v>1430</v>
      </c>
      <c r="B445" s="2" t="s">
        <v>1431</v>
      </c>
      <c r="C445" s="2" t="s">
        <v>1432</v>
      </c>
      <c r="D445" s="2" t="s">
        <v>1433</v>
      </c>
      <c r="E445" s="3">
        <f>HYPERLINK("https://policlinicasanjuan.com/", "Visit Website")</f>
        <v>0</v>
      </c>
      <c r="F445" s="4">
        <v>3.7</v>
      </c>
      <c r="G445" s="5" t="s">
        <v>1434</v>
      </c>
      <c r="H445" s="4">
        <v>1</v>
      </c>
      <c r="I445" s="2" t="s">
        <v>1435</v>
      </c>
      <c r="J445" s="4" t="s">
        <v>1436</v>
      </c>
      <c r="K445" s="3" t="str">
        <f>HYPERLINK("https://www.google.com/maps/reviews/data=!4m8!14m7!1m6!2m5!1sChdDSUhNMG9nS0VJQ0FnSUNtOFB5bTVRRRAB!2m1!1s0x0:0xa2f42515bfe5bdfb!3m1!1s2@1:CIHM0ogKEICAgICm8Pym5QE%7C%7C?hl=en", "View Link")</f>
        <v>View Link</v>
      </c>
      <c r="L445" s="3">
        <f>HYPERLINK("https://www.google.com/maps/search/?api=1&amp;query=Policlinica%20San%20Juan&amp;query_place_id=ChIJqXXFANP6cg0R-73lvxUl9KI", "Open Map")</f>
        <v>0</v>
      </c>
    </row>
    <row r="446" spans="1:12" ht="20" customHeight="1">
      <c r="A446" s="2"/>
      <c r="B446" s="2"/>
      <c r="C446" s="2"/>
      <c r="D446" s="2"/>
      <c r="E446" s="3"/>
      <c r="F446" s="4"/>
      <c r="G446" s="5" t="s">
        <v>1437</v>
      </c>
      <c r="H446" s="4">
        <v>1</v>
      </c>
      <c r="I446" s="2" t="s">
        <v>1438</v>
      </c>
      <c r="J446" s="4" t="s">
        <v>1439</v>
      </c>
      <c r="K446" s="3" t="str">
        <f>HYPERLINK("https://www.google.com/maps/reviews/data=!4m8!14m7!1m6!2m5!1sChZDSUhNMG9nS0VJQ0FnSUR1X0p1dVdnEAE!2m1!1s0x0:0xa2f42515bfe5bdfb!3m1!1s2@1:CIHM0ogKEICAgIDu_JuuWg%7C%7C?hl=en", "View Link")</f>
        <v>View Link</v>
      </c>
      <c r="L446" s="3"/>
    </row>
    <row r="447" spans="1:12" ht="20" customHeight="1">
      <c r="A447" s="2"/>
      <c r="B447" s="2"/>
      <c r="C447" s="2"/>
      <c r="D447" s="2"/>
      <c r="E447" s="3"/>
      <c r="F447" s="4"/>
      <c r="G447" s="5" t="s">
        <v>1440</v>
      </c>
      <c r="H447" s="4">
        <v>1</v>
      </c>
      <c r="I447" s="2" t="s">
        <v>1441</v>
      </c>
      <c r="J447" s="4" t="s">
        <v>1442</v>
      </c>
      <c r="K447" s="3" t="str">
        <f>HYPERLINK("https://www.google.com/maps/reviews/data=!4m8!14m7!1m6!2m5!1sChZDSUhNMG9nS0VJQ0FnSUNxc3ZIdkZBEAE!2m1!1s0x0:0xa2f42515bfe5bdfb!3m1!1s2@1:CIHM0ogKEICAgICqsvHvFA%7C%7C?hl=en", "View Link")</f>
        <v>View Link</v>
      </c>
      <c r="L447" s="3"/>
    </row>
    <row r="448" spans="1:12" ht="20" customHeight="1">
      <c r="A448" s="2"/>
      <c r="B448" s="2"/>
      <c r="C448" s="2"/>
      <c r="D448" s="2"/>
      <c r="E448" s="3"/>
      <c r="F448" s="4"/>
      <c r="G448" s="5" t="s">
        <v>1443</v>
      </c>
      <c r="H448" s="4">
        <v>1</v>
      </c>
      <c r="I448" s="2" t="s">
        <v>1444</v>
      </c>
      <c r="J448" s="4" t="s">
        <v>1445</v>
      </c>
      <c r="K448" s="3" t="str">
        <f>HYPERLINK("https://www.google.com/maps/reviews/data=!4m8!14m7!1m6!2m5!1sChdDSUhNMG9nS0VJQ0FnSURvMkpHVndRRRAB!2m1!1s0x0:0xa2f42515bfe5bdfb!3m1!1s2@1:CIHM0ogKEICAgIDo2JGVwQE%7C%7C?hl=en", "View Link")</f>
        <v>View Link</v>
      </c>
      <c r="L448" s="3"/>
    </row>
    <row r="449" spans="1:12" ht="20" customHeight="1">
      <c r="A449" s="2"/>
      <c r="B449" s="2"/>
      <c r="C449" s="2"/>
      <c r="D449" s="2"/>
      <c r="E449" s="3"/>
      <c r="F449" s="4"/>
      <c r="G449" s="5" t="s">
        <v>1446</v>
      </c>
      <c r="H449" s="4">
        <v>1</v>
      </c>
      <c r="I449" s="2" t="s">
        <v>1447</v>
      </c>
      <c r="J449" s="4" t="s">
        <v>1448</v>
      </c>
      <c r="K449" s="3" t="str">
        <f>HYPERLINK("https://www.google.com/maps/reviews/data=!4m8!14m7!1m6!2m5!1sCi9DQUlRQUNvZENodHljRjlvT2t4cVFrWk9jWFpuWVhaQ2VIazFialkxZURWSldXYxAB!2m1!1s0x0:0xa2f42515bfe5bdfb!3m1!1s2@1:CAIQACodChtycF9oOkxqQkZOcXZnYXZCeHk1bjY1eDVJWWc%7C%7C?hl=en", "View Link")</f>
        <v>View Link</v>
      </c>
      <c r="L449" s="3"/>
    </row>
    <row r="450" spans="1:12" ht="20" customHeight="1">
      <c r="A450" s="2"/>
      <c r="B450" s="2"/>
      <c r="C450" s="2"/>
      <c r="D450" s="2"/>
      <c r="E450" s="3"/>
      <c r="F450" s="4"/>
      <c r="G450" s="5" t="s">
        <v>1449</v>
      </c>
      <c r="H450" s="4">
        <v>1</v>
      </c>
      <c r="I450" s="2" t="s">
        <v>1450</v>
      </c>
      <c r="J450" s="4" t="s">
        <v>1451</v>
      </c>
      <c r="K450" s="3" t="str">
        <f>HYPERLINK("https://www.google.com/maps/reviews/data=!4m8!14m7!1m6!2m5!1sCi9DQUlRQUNvZENodHljRjlvT2pJMFNuZHdkbEl4VkdsV2RYUjJWR2x4UlU1NVUxRRAB!2m1!1s0x0:0xa2f42515bfe5bdfb!3m1!1s2@1:CAIQACodChtycF9oOjI0SndwdlIxVGlWdXR2VGlxRU55U1E%7C%7C?hl=en", "View Link")</f>
        <v>View Link</v>
      </c>
      <c r="L450" s="3"/>
    </row>
    <row r="451" spans="1:12" ht="20" customHeight="1">
      <c r="A451" s="2"/>
      <c r="B451" s="2"/>
      <c r="C451" s="2"/>
      <c r="D451" s="2"/>
      <c r="E451" s="3"/>
      <c r="F451" s="4"/>
      <c r="G451" s="5" t="s">
        <v>1452</v>
      </c>
      <c r="H451" s="4">
        <v>1</v>
      </c>
      <c r="I451" s="2" t="s">
        <v>1453</v>
      </c>
      <c r="J451" s="4" t="s">
        <v>1454</v>
      </c>
      <c r="K451" s="3" t="str">
        <f>HYPERLINK("https://www.google.com/maps/reviews/data=!4m8!14m7!1m6!2m5!1sCi9DQUlRQUNvZENodHljRjlvT2psNVZFVkdOVVJSYlROamFrNTRTbkk0VlRGUE0yYxAB!2m1!1s0x0:0xa2f42515bfe5bdfb!3m1!1s2@1:CAIQACodChtycF9oOjl5VEVGNURRbTNjak54SnI4VTFPM2c%7C%7C?hl=en", "View Link")</f>
        <v>View Link</v>
      </c>
      <c r="L451" s="3"/>
    </row>
    <row r="452" spans="1:12" ht="20" customHeight="1">
      <c r="A452" s="2"/>
      <c r="B452" s="2"/>
      <c r="C452" s="2"/>
      <c r="D452" s="2"/>
      <c r="E452" s="3"/>
      <c r="F452" s="4"/>
      <c r="G452" s="5" t="s">
        <v>1455</v>
      </c>
      <c r="H452" s="4">
        <v>1</v>
      </c>
      <c r="I452" s="2" t="s">
        <v>1456</v>
      </c>
      <c r="J452" s="4" t="s">
        <v>1457</v>
      </c>
      <c r="K452" s="3" t="str">
        <f>HYPERLINK("https://www.google.com/maps/reviews/data=!4m8!14m7!1m6!2m5!1sCi9DQUlRQUNvZENodHljRjlvT2w5VVkyOHRUM0JyVDBNelprTmhXbGxPWTNwdlQwRRAB!2m1!1s0x0:0xa2f42515bfe5bdfb!3m1!1s2@1:CAIQACodChtycF9oOl9UY28tT3BrT0MzZkNhWllOY3pvT0E%7C%7C?hl=en", "View Link")</f>
        <v>View Link</v>
      </c>
      <c r="L452" s="3"/>
    </row>
    <row r="453" spans="1:12" ht="20" customHeight="1">
      <c r="A453" s="2"/>
      <c r="B453" s="2"/>
      <c r="C453" s="2"/>
      <c r="D453" s="2"/>
      <c r="E453" s="3"/>
      <c r="F453" s="4"/>
      <c r="G453" s="5" t="s">
        <v>1458</v>
      </c>
      <c r="H453" s="4">
        <v>1</v>
      </c>
      <c r="I453" s="2" t="s">
        <v>1459</v>
      </c>
      <c r="J453" s="4" t="s">
        <v>1460</v>
      </c>
      <c r="K453" s="3" t="str">
        <f>HYPERLINK("https://www.google.com/maps/reviews/data=!4m8!14m7!1m6!2m5!1sCi9DQUlRQUNvZENodHljRjlvT25KUWNqVnllSFJpWDNWT2NXWXdaMWd6TlVKWlpYYxAB!2m1!1s0x0:0xa2f42515bfe5bdfb!3m1!1s2@1:CAIQACodChtycF9oOnJQcjVyeHRiX3VOcWYwZ1gzNUJZZXc%7C%7C?hl=en", "View Link")</f>
        <v>View Link</v>
      </c>
      <c r="L453" s="3"/>
    </row>
    <row r="454" spans="1:12" ht="20" customHeight="1">
      <c r="A454" s="2"/>
      <c r="B454" s="2"/>
      <c r="C454" s="2"/>
      <c r="D454" s="2"/>
      <c r="E454" s="3"/>
      <c r="F454" s="4"/>
      <c r="G454" s="5" t="s">
        <v>1461</v>
      </c>
      <c r="H454" s="4">
        <v>1</v>
      </c>
      <c r="I454" s="2" t="s">
        <v>1462</v>
      </c>
      <c r="J454" s="4" t="s">
        <v>1463</v>
      </c>
      <c r="K454" s="3" t="str">
        <f>HYPERLINK("https://www.google.com/maps/reviews/data=!4m8!14m7!1m6!2m5!1sCi9DQUlRQUNvZENodHljRjlvT2tReVlYUlpOR1Z3WWpkZlgyMTRkMUF3V0U1clJGRRAB!2m1!1s0x0:0xa2f42515bfe5bdfb!3m1!1s2@1:CAIQACodChtycF9oOkQyYXRZNGVwYjdfX214d1AwWE5rRFE%7C%7C?hl=en", "View Link")</f>
        <v>View Link</v>
      </c>
      <c r="L454" s="3"/>
    </row>
    <row r="455" spans="1:12" ht="20" customHeight="1">
      <c r="A455" s="2"/>
      <c r="B455" s="2"/>
      <c r="C455" s="2"/>
      <c r="D455" s="2"/>
      <c r="E455" s="3"/>
      <c r="F455" s="4"/>
      <c r="G455" s="5" t="s">
        <v>1464</v>
      </c>
      <c r="H455" s="4">
        <v>1</v>
      </c>
      <c r="I455" s="2" t="s">
        <v>1465</v>
      </c>
      <c r="J455" s="4" t="s">
        <v>1466</v>
      </c>
      <c r="K455" s="3" t="str">
        <f>HYPERLINK("https://www.google.com/maps/reviews/data=!4m8!14m7!1m6!2m5!1sCi9DQUlRQUNvZENodHljRjlvT21ReGRVaG5RemswVERWYVpuUkJaRlJRWmtvM2VIYxAB!2m1!1s0x0:0xa2f42515bfe5bdfb!3m1!1s2@1:CAIQACodChtycF9oOmQxdUhnQzk0TDVaZnRBZFRQZko3eHc%7C%7C?hl=en", "View Link")</f>
        <v>View Link</v>
      </c>
      <c r="L455" s="3"/>
    </row>
    <row r="456" spans="1:12" ht="20" customHeight="1">
      <c r="A456" s="2"/>
      <c r="B456" s="2"/>
      <c r="C456" s="2"/>
      <c r="D456" s="2"/>
      <c r="E456" s="3"/>
      <c r="F456" s="4"/>
      <c r="G456" s="5" t="s">
        <v>1467</v>
      </c>
      <c r="H456" s="4">
        <v>1</v>
      </c>
      <c r="I456" s="2" t="s">
        <v>1468</v>
      </c>
      <c r="J456" s="4" t="s">
        <v>1469</v>
      </c>
      <c r="K456" s="3" t="str">
        <f>HYPERLINK("https://www.google.com/maps/reviews/data=!4m8!14m7!1m6!2m5!1sCi9DQUlRQUNvZENodHljRjlvT21FNWJWVklRMVJQVlRWMmJWOUZNVEJXUTE5SVdWRRAB!2m1!1s0x0:0xa2f42515bfe5bdfb!3m1!1s2@1:CAIQACodChtycF9oOmE5bVVIQ1RPVTV2bV9FMTBWQ19IWVE%7C%7C?hl=en", "View Link")</f>
        <v>View Link</v>
      </c>
      <c r="L456" s="3"/>
    </row>
    <row r="457" spans="1:12" ht="20" customHeight="1">
      <c r="A457" s="2"/>
      <c r="B457" s="2"/>
      <c r="C457" s="2"/>
      <c r="D457" s="2"/>
      <c r="E457" s="3"/>
      <c r="F457" s="4"/>
      <c r="G457" s="5" t="s">
        <v>1470</v>
      </c>
      <c r="H457" s="4">
        <v>1</v>
      </c>
      <c r="I457" s="2" t="s">
        <v>1471</v>
      </c>
      <c r="J457" s="4" t="s">
        <v>1472</v>
      </c>
      <c r="K457" s="3" t="str">
        <f>HYPERLINK("https://www.google.com/maps/reviews/data=!4m8!14m7!1m6!2m5!1sCi9DQUlRQUNvZENodHljRjlvT2tocmQwcDNPWFIyVG5CUlZHVk1PWGxYT0ZacFFXYxAB!2m1!1s0x0:0xa2f42515bfe5bdfb!3m1!1s2@1:CAIQACodChtycF9oOkhrd0p3OXR2TnBRVGVMOXlXOFZpQWc%7C%7C?hl=en", "View Link")</f>
        <v>View Link</v>
      </c>
      <c r="L457" s="3"/>
    </row>
    <row r="458" spans="1:12" ht="20" customHeight="1">
      <c r="A458" s="2"/>
      <c r="B458" s="2"/>
      <c r="C458" s="2"/>
      <c r="D458" s="2"/>
      <c r="E458" s="3"/>
      <c r="F458" s="4"/>
      <c r="G458" s="5" t="s">
        <v>1473</v>
      </c>
      <c r="H458" s="4">
        <v>1</v>
      </c>
      <c r="I458" s="2" t="s">
        <v>1474</v>
      </c>
      <c r="J458" s="4" t="s">
        <v>1475</v>
      </c>
      <c r="K458" s="3" t="str">
        <f>HYPERLINK("https://www.google.com/maps/reviews/data=!4m8!14m7!1m6!2m5!1sCi9DQUlRQUNvZENodHljRjlvT25KQ1RrYzJVbVZCWkdndGJXWlZUMnh1ZW1KT2JYYxAB!2m1!1s0x0:0xa2f42515bfe5bdfb!3m1!1s2@1:CAIQACodChtycF9oOnJCTkc2UmVBZGgtbWZVT2xuemJObXc%7C%7C?hl=en", "View Link")</f>
        <v>View Link</v>
      </c>
      <c r="L458" s="3"/>
    </row>
    <row r="459" spans="1:12" ht="20" customHeight="1">
      <c r="A459" s="2"/>
      <c r="B459" s="2"/>
      <c r="C459" s="2"/>
      <c r="D459" s="2"/>
      <c r="E459" s="3"/>
      <c r="F459" s="4"/>
      <c r="G459" s="5" t="s">
        <v>1476</v>
      </c>
      <c r="H459" s="4">
        <v>1</v>
      </c>
      <c r="I459" s="2" t="s">
        <v>1477</v>
      </c>
      <c r="J459" s="4" t="s">
        <v>1478</v>
      </c>
      <c r="K459" s="3" t="str">
        <f>HYPERLINK("https://www.google.com/maps/reviews/data=!4m8!14m7!1m6!2m5!1sCi9DQUlRQUNvZENodHljRjlvT2xGSGIyVTBjV0UzV21WNFdtOXplbHB1UVc5cVRHYxAB!2m1!1s0x0:0xa2f42515bfe5bdfb!3m1!1s2@1:CAIQACodChtycF9oOlFHb2U0cWE3WmV4Wm9zelpuQW9qTGc%7C%7C?hl=en", "View Link")</f>
        <v>View Link</v>
      </c>
      <c r="L459" s="3"/>
    </row>
    <row r="460" spans="1:12" ht="20" customHeight="1">
      <c r="A460" s="2"/>
      <c r="B460" s="2"/>
      <c r="C460" s="2"/>
      <c r="D460" s="2"/>
      <c r="E460" s="3"/>
      <c r="F460" s="4"/>
      <c r="G460" s="5" t="s">
        <v>1479</v>
      </c>
      <c r="H460" s="4">
        <v>1</v>
      </c>
      <c r="I460" s="2" t="s">
        <v>1480</v>
      </c>
      <c r="J460" s="4" t="s">
        <v>1481</v>
      </c>
      <c r="K460" s="3" t="str">
        <f>HYPERLINK("https://www.google.com/maps/reviews/data=!4m8!14m7!1m6!2m5!1sCi9DQUlRQUNvZENodHljRjlvT25Kak0yaGpWbVJUZFdwM1dWbFlNbTFoY0ZwM2FsRRAB!2m1!1s0x0:0xa2f42515bfe5bdfb!3m1!1s2@1:CAIQACodChtycF9oOnJjM2hjVmRTdWp3WVlYMm1hcFp3alE%7C%7C?hl=en", "View Link")</f>
        <v>View Link</v>
      </c>
      <c r="L460" s="3"/>
    </row>
    <row r="461" spans="1:12" ht="20" customHeight="1">
      <c r="A461" s="2"/>
      <c r="B461" s="2"/>
      <c r="C461" s="2"/>
      <c r="D461" s="2"/>
      <c r="E461" s="3"/>
      <c r="F461" s="4"/>
      <c r="G461" s="5" t="s">
        <v>1482</v>
      </c>
      <c r="H461" s="4">
        <v>1</v>
      </c>
      <c r="I461" s="2" t="s">
        <v>1483</v>
      </c>
      <c r="J461" s="4" t="s">
        <v>1484</v>
      </c>
      <c r="K461" s="3" t="str">
        <f>HYPERLINK("https://www.google.com/maps/reviews/data=!4m8!14m7!1m6!2m5!1sCi9DQUlRQUNvZENodHljRjlvT2xOTlJFVndTREJQVWpsMU9YSXRUekZvYlRoSk5XYxAB!2m1!1s0x0:0xa2f42515bfe5bdfb!3m1!1s2@1:CAIQACodChtycF9oOlNNREVwSDBPUjl1OXItTzFobThJNWc%7C%7C?hl=en", "View Link")</f>
        <v>View Link</v>
      </c>
      <c r="L461" s="3"/>
    </row>
    <row r="462" spans="1:12" ht="20" customHeight="1">
      <c r="A462" s="2"/>
      <c r="B462" s="2"/>
      <c r="C462" s="2"/>
      <c r="D462" s="2"/>
      <c r="E462" s="3"/>
      <c r="F462" s="4"/>
      <c r="G462" s="5" t="s">
        <v>1485</v>
      </c>
      <c r="H462" s="4">
        <v>1</v>
      </c>
      <c r="I462" s="2" t="s">
        <v>1486</v>
      </c>
      <c r="J462" s="4" t="s">
        <v>1487</v>
      </c>
      <c r="K462" s="3" t="str">
        <f>HYPERLINK("https://www.google.com/maps/reviews/data=!4m8!14m7!1m6!2m5!1sChdDSUhNMG9nS0VOejl4UDNaMU1LMGh3RRAB!2m1!1s0x0:0xa2f42515bfe5bdfb!3m1!1s2@1:CIHM0ogKENz9xP3Z1MK0hwE%7C%7C?hl=en", "View Link")</f>
        <v>View Link</v>
      </c>
      <c r="L462" s="3"/>
    </row>
    <row r="463" spans="1:12" ht="20" customHeight="1">
      <c r="A463" s="2"/>
      <c r="B463" s="2"/>
      <c r="C463" s="2"/>
      <c r="D463" s="2"/>
      <c r="E463" s="3"/>
      <c r="F463" s="4"/>
      <c r="G463" s="5" t="s">
        <v>1488</v>
      </c>
      <c r="H463" s="4">
        <v>1</v>
      </c>
      <c r="I463" s="2" t="s">
        <v>1489</v>
      </c>
      <c r="J463" s="4" t="s">
        <v>1490</v>
      </c>
      <c r="K463" s="3" t="str">
        <f>HYPERLINK("https://www.google.com/maps/reviews/data=!4m8!14m7!1m6!2m5!1sCi9DQUlRQUNvZENodHljRjlvT2tOcGQxQndaa3MwY1dZeldYZEtTbFpCTjJseVQxRRAB!2m1!1s0x0:0xa2f42515bfe5bdfb!3m1!1s2@1:CAIQACodChtycF9oOkNpd1BwZks0cWYzWXdKSlZBN2lyT1E%7C%7C?hl=en", "View Link")</f>
        <v>View Link</v>
      </c>
      <c r="L463" s="3"/>
    </row>
    <row r="464" spans="1:12" ht="20" customHeight="1">
      <c r="A464" s="2"/>
      <c r="B464" s="2"/>
      <c r="C464" s="2"/>
      <c r="D464" s="2"/>
      <c r="E464" s="3"/>
      <c r="F464" s="4"/>
      <c r="G464" s="5" t="s">
        <v>1491</v>
      </c>
      <c r="H464" s="4">
        <v>1</v>
      </c>
      <c r="I464" s="2" t="s">
        <v>1492</v>
      </c>
      <c r="J464" s="4" t="s">
        <v>1493</v>
      </c>
      <c r="K464" s="3" t="str">
        <f>HYPERLINK("https://www.google.com/maps/reviews/data=!4m8!14m7!1m6!2m5!1sCi9DQUlRQUNvZENodHljRjlvT2tWclVHRnlWbWhqZEd0bVRXeDBiR1JFWldkM1ZXYxAB!2m1!1s0x0:0xa2f42515bfe5bdfb!3m1!1s2@1:CAIQACodChtycF9oOkVrUGFyVmhjdGtmTWx0bGREZWd3VWc%7C%7C?hl=en", "View Link")</f>
        <v>View Link</v>
      </c>
      <c r="L464" s="3"/>
    </row>
    <row r="465" spans="1:12" ht="20" customHeight="1">
      <c r="A465" s="2" t="s">
        <v>1494</v>
      </c>
      <c r="B465" s="2" t="s">
        <v>1495</v>
      </c>
      <c r="C465" s="2" t="s">
        <v>1496</v>
      </c>
      <c r="D465" s="2" t="s">
        <v>972</v>
      </c>
      <c r="E465" s="3">
        <f>HYPERLINK("https://www.quironsalud.es/hospital-madrid", "Visit Website")</f>
        <v>0</v>
      </c>
      <c r="F465" s="4">
        <v>3.1</v>
      </c>
      <c r="G465" s="5" t="s">
        <v>1497</v>
      </c>
      <c r="H465" s="4">
        <v>1</v>
      </c>
      <c r="I465" s="2" t="s">
        <v>1498</v>
      </c>
      <c r="J465" s="4" t="s">
        <v>1499</v>
      </c>
      <c r="K465" s="3" t="str">
        <f>HYPERLINK("https://www.google.com/maps/reviews/data=!4m8!14m7!1m6!2m5!1sChdDSUhNMG9nS0VJQ0FnTUNvbWZuTTFnRRAB!2m1!1s0x0:0x78a3abfbd0248ea0!3m1!1s2@1:CIHM0ogKEICAgMComfnM1gE%7C%7C?hl=en", "View Link")</f>
        <v>View Link</v>
      </c>
      <c r="L465" s="3">
        <f>HYPERLINK("https://www.google.com/maps/search/?api=1&amp;query=University%20Hospital%20Quironsalud%20Madrid&amp;query_place_id=ChIJWZ-xnYeIQQ0RoI4k0Puro3g", "Open Map")</f>
        <v>0</v>
      </c>
    </row>
    <row r="466" spans="1:12" ht="20" customHeight="1">
      <c r="A466" s="2"/>
      <c r="B466" s="2"/>
      <c r="C466" s="2"/>
      <c r="D466" s="2"/>
      <c r="E466" s="3"/>
      <c r="F466" s="4"/>
      <c r="G466" s="5" t="s">
        <v>1500</v>
      </c>
      <c r="H466" s="4">
        <v>1</v>
      </c>
      <c r="I466" s="2" t="s">
        <v>1501</v>
      </c>
      <c r="J466" s="4" t="s">
        <v>1502</v>
      </c>
      <c r="K466" s="3" t="str">
        <f>HYPERLINK("https://www.google.com/maps/reviews/data=!4m8!14m7!1m6!2m5!1sChZDSUhNMG9nS0VPN3E5UFQ1cE1pLUl3EAE!2m1!1s0x0:0x78a3abfbd0248ea0!3m1!1s2@1:CIHM0ogKEO7q9PT5pMi-Iw%7C%7C?hl=en", "View Link")</f>
        <v>View Link</v>
      </c>
      <c r="L466" s="3"/>
    </row>
    <row r="467" spans="1:12" ht="20" customHeight="1">
      <c r="A467" s="2"/>
      <c r="B467" s="2"/>
      <c r="C467" s="2"/>
      <c r="D467" s="2"/>
      <c r="E467" s="3"/>
      <c r="F467" s="4"/>
      <c r="G467" s="5" t="s">
        <v>1503</v>
      </c>
      <c r="H467" s="4">
        <v>1</v>
      </c>
      <c r="I467" s="2" t="s">
        <v>1504</v>
      </c>
      <c r="J467" s="4" t="s">
        <v>1505</v>
      </c>
      <c r="K467" s="3" t="str">
        <f>HYPERLINK("https://www.google.com/maps/reviews/data=!4m8!14m7!1m6!2m5!1sChdDSUhNMG9nS0VJQ0FnSUNacnZpd3NnRRAB!2m1!1s0x0:0x78a3abfbd0248ea0!3m1!1s2@1:CIHM0ogKEICAgICZrviwsgE%7C%7C?hl=en", "View Link")</f>
        <v>View Link</v>
      </c>
      <c r="L467" s="3"/>
    </row>
    <row r="468" spans="1:12" ht="20" customHeight="1">
      <c r="A468" s="2"/>
      <c r="B468" s="2"/>
      <c r="C468" s="2"/>
      <c r="D468" s="2"/>
      <c r="E468" s="3"/>
      <c r="F468" s="4"/>
      <c r="G468" s="5" t="s">
        <v>1506</v>
      </c>
      <c r="H468" s="4">
        <v>1</v>
      </c>
      <c r="I468" s="2" t="s">
        <v>1507</v>
      </c>
      <c r="J468" s="4" t="s">
        <v>1508</v>
      </c>
      <c r="K468" s="3" t="str">
        <f>HYPERLINK("https://www.google.com/maps/reviews/data=!4m8!14m7!1m6!2m5!1sChdDSUhNMG9nS0VJQ0FnSUNwbmFXN2pRRRAB!2m1!1s0x0:0x78a3abfbd0248ea0!3m1!1s2@1:CIHM0ogKEICAgICpnaW7jQE%7C%7C?hl=en", "View Link")</f>
        <v>View Link</v>
      </c>
      <c r="L468" s="3"/>
    </row>
    <row r="469" spans="1:12" ht="20" customHeight="1">
      <c r="A469" s="2"/>
      <c r="B469" s="2"/>
      <c r="C469" s="2"/>
      <c r="D469" s="2"/>
      <c r="E469" s="3"/>
      <c r="F469" s="4"/>
      <c r="G469" s="5" t="s">
        <v>1509</v>
      </c>
      <c r="H469" s="4">
        <v>1</v>
      </c>
      <c r="I469" s="2" t="s">
        <v>1510</v>
      </c>
      <c r="J469" s="4" t="s">
        <v>1511</v>
      </c>
      <c r="K469" s="3" t="str">
        <f>HYPERLINK("https://www.google.com/maps/reviews/data=!4m8!14m7!1m6!2m5!1sChdDSUhNMG9nS0VJQ0FnSUNPbFpqanhBRRAB!2m1!1s0x0:0x78a3abfbd0248ea0!3m1!1s2@1:CIHM0ogKEICAgICOlZjjxAE%7C%7C?hl=en", "View Link")</f>
        <v>View Link</v>
      </c>
      <c r="L469" s="3"/>
    </row>
    <row r="470" spans="1:12" ht="20" customHeight="1">
      <c r="A470" s="2"/>
      <c r="B470" s="2"/>
      <c r="C470" s="2"/>
      <c r="D470" s="2"/>
      <c r="E470" s="3"/>
      <c r="F470" s="4"/>
      <c r="G470" s="5" t="s">
        <v>1512</v>
      </c>
      <c r="H470" s="4">
        <v>1</v>
      </c>
      <c r="I470" s="2" t="s">
        <v>1513</v>
      </c>
      <c r="J470" s="4" t="s">
        <v>1514</v>
      </c>
      <c r="K470" s="3" t="str">
        <f>HYPERLINK("https://www.google.com/maps/reviews/data=!4m8!14m7!1m6!2m5!1sChdDSUhNMG9nS0VJQ0FnSURVeW9uenBBRRAB!2m1!1s0x0:0x78a3abfbd0248ea0!3m1!1s2@1:CIHM0ogKEICAgIDUyonzpAE%7C%7C?hl=en", "View Link")</f>
        <v>View Link</v>
      </c>
      <c r="L470" s="3"/>
    </row>
    <row r="471" spans="1:12" ht="20" customHeight="1">
      <c r="A471" s="2"/>
      <c r="B471" s="2"/>
      <c r="C471" s="2"/>
      <c r="D471" s="2"/>
      <c r="E471" s="3"/>
      <c r="F471" s="4"/>
      <c r="G471" s="5" t="s">
        <v>1515</v>
      </c>
      <c r="H471" s="4">
        <v>1</v>
      </c>
      <c r="I471" s="2" t="s">
        <v>1516</v>
      </c>
      <c r="J471" s="4" t="s">
        <v>1517</v>
      </c>
      <c r="K471" s="3" t="str">
        <f>HYPERLINK("https://www.google.com/maps/reviews/data=!4m8!14m7!1m6!2m5!1sChdDSUhNMG9nS0VJQ0FnSUR6Nk03UDlBRRAB!2m1!1s0x0:0x78a3abfbd0248ea0!3m1!1s2@1:CIHM0ogKEICAgIDz6M7P9AE%7C%7C?hl=en", "View Link")</f>
        <v>View Link</v>
      </c>
      <c r="L471" s="3"/>
    </row>
    <row r="472" spans="1:12" ht="20" customHeight="1">
      <c r="A472" s="2"/>
      <c r="B472" s="2"/>
      <c r="C472" s="2"/>
      <c r="D472" s="2"/>
      <c r="E472" s="3"/>
      <c r="F472" s="4"/>
      <c r="G472" s="5" t="s">
        <v>1518</v>
      </c>
      <c r="H472" s="4">
        <v>1</v>
      </c>
      <c r="I472" s="2" t="s">
        <v>1519</v>
      </c>
      <c r="J472" s="4" t="s">
        <v>1520</v>
      </c>
      <c r="K472" s="3" t="str">
        <f>HYPERLINK("https://www.google.com/maps/reviews/data=!4m8!14m7!1m6!2m5!1sChZDSUhNMG9nS0VJQ0FnSURVbU9XN1BBEAE!2m1!1s0x0:0x78a3abfbd0248ea0!3m1!1s2@1:CIHM0ogKEICAgIDUmOW7PA%7C%7C?hl=en", "View Link")</f>
        <v>View Link</v>
      </c>
      <c r="L472" s="3"/>
    </row>
    <row r="473" spans="1:12" ht="20" customHeight="1">
      <c r="A473" s="2"/>
      <c r="B473" s="2"/>
      <c r="C473" s="2"/>
      <c r="D473" s="2"/>
      <c r="E473" s="3"/>
      <c r="F473" s="4"/>
      <c r="G473" s="5" t="s">
        <v>1521</v>
      </c>
      <c r="H473" s="4">
        <v>1</v>
      </c>
      <c r="I473" s="2" t="s">
        <v>1522</v>
      </c>
      <c r="J473" s="4" t="s">
        <v>1523</v>
      </c>
      <c r="K473" s="3" t="str">
        <f>HYPERLINK("https://www.google.com/maps/reviews/data=!4m8!14m7!1m6!2m5!1sCi9DQUlRQUNvZENodHljRjlvT21VMVZrdFVPRVJuVTFSVWVuZG5jbUo1YkY5M2NsRRAB!2m1!1s0x0:0x78a3abfbd0248ea0!3m1!1s2@1:CAIQACodChtycF9oOmU1VktUOERnU1RUendncmJ5bF93clE%7C%7C?hl=en", "View Link")</f>
        <v>View Link</v>
      </c>
      <c r="L473" s="3"/>
    </row>
    <row r="474" spans="1:12" ht="20" customHeight="1">
      <c r="A474" s="2"/>
      <c r="B474" s="2"/>
      <c r="C474" s="2"/>
      <c r="D474" s="2"/>
      <c r="E474" s="3"/>
      <c r="F474" s="4"/>
      <c r="G474" s="5" t="s">
        <v>1524</v>
      </c>
      <c r="H474" s="4">
        <v>1</v>
      </c>
      <c r="I474" s="2" t="s">
        <v>1525</v>
      </c>
      <c r="J474" s="4" t="s">
        <v>1526</v>
      </c>
      <c r="K474" s="3" t="str">
        <f>HYPERLINK("https://www.google.com/maps/reviews/data=!4m8!14m7!1m6!2m5!1sChZDSUhNMG9nS0VJQ0FnSUMxeXY2d09nEAE!2m1!1s0x0:0x78a3abfbd0248ea0!3m1!1s2@1:CIHM0ogKEICAgIC1yv6wOg%7C%7C?hl=en", "View Link")</f>
        <v>View Link</v>
      </c>
      <c r="L474" s="3"/>
    </row>
    <row r="475" spans="1:12" ht="20" customHeight="1">
      <c r="A475" s="2"/>
      <c r="B475" s="2"/>
      <c r="C475" s="2"/>
      <c r="D475" s="2"/>
      <c r="E475" s="3"/>
      <c r="F475" s="4"/>
      <c r="G475" s="5" t="s">
        <v>1527</v>
      </c>
      <c r="H475" s="4">
        <v>1</v>
      </c>
      <c r="I475" s="2" t="s">
        <v>1528</v>
      </c>
      <c r="J475" s="4" t="s">
        <v>1529</v>
      </c>
      <c r="K475" s="3" t="str">
        <f>HYPERLINK("https://www.google.com/maps/reviews/data=!4m8!14m7!1m6!2m5!1sChdDSUhNMG9nS0VJQ0FnSURLbmZEU3d3RRAB!2m1!1s0x0:0x78a3abfbd0248ea0!3m1!1s2@1:CIHM0ogKEICAgIDKnfDSwwE%7C%7C?hl=en", "View Link")</f>
        <v>View Link</v>
      </c>
      <c r="L475" s="3"/>
    </row>
    <row r="476" spans="1:12" ht="20" customHeight="1">
      <c r="A476" s="2"/>
      <c r="B476" s="2"/>
      <c r="C476" s="2"/>
      <c r="D476" s="2"/>
      <c r="E476" s="3"/>
      <c r="F476" s="4"/>
      <c r="G476" s="5" t="s">
        <v>1530</v>
      </c>
      <c r="H476" s="4">
        <v>1</v>
      </c>
      <c r="I476" s="2" t="s">
        <v>1531</v>
      </c>
      <c r="J476" s="4" t="s">
        <v>1532</v>
      </c>
      <c r="K476" s="3" t="str">
        <f>HYPERLINK("https://www.google.com/maps/reviews/data=!4m8!14m7!1m6!2m5!1sChdDSUhNMG9nS0VJQ0FnSUN1c2VTZmtnRRAB!2m1!1s0x0:0x78a3abfbd0248ea0!3m1!1s2@1:CIHM0ogKEICAgICuseSfkgE%7C%7C?hl=en", "View Link")</f>
        <v>View Link</v>
      </c>
      <c r="L476" s="3"/>
    </row>
    <row r="477" spans="1:12" ht="20" customHeight="1">
      <c r="A477" s="2"/>
      <c r="B477" s="2"/>
      <c r="C477" s="2"/>
      <c r="D477" s="2"/>
      <c r="E477" s="3"/>
      <c r="F477" s="4"/>
      <c r="G477" s="5" t="s">
        <v>1533</v>
      </c>
      <c r="H477" s="4">
        <v>1</v>
      </c>
      <c r="I477" s="2" t="s">
        <v>1534</v>
      </c>
      <c r="J477" s="4" t="s">
        <v>1535</v>
      </c>
      <c r="K477" s="3" t="str">
        <f>HYPERLINK("https://www.google.com/maps/reviews/data=!4m8!14m7!1m6!2m5!1sChZDSUhNMG9nS0VJQ0FnSUR4ejdhdlFnEAE!2m1!1s0x0:0x78a3abfbd0248ea0!3m1!1s2@1:CIHM0ogKEICAgIDxz7avQg%7C%7C?hl=en", "View Link")</f>
        <v>View Link</v>
      </c>
      <c r="L477" s="3"/>
    </row>
    <row r="478" spans="1:12" ht="20" customHeight="1">
      <c r="A478" s="2"/>
      <c r="B478" s="2"/>
      <c r="C478" s="2"/>
      <c r="D478" s="2"/>
      <c r="E478" s="3"/>
      <c r="F478" s="4"/>
      <c r="G478" s="5" t="s">
        <v>1536</v>
      </c>
      <c r="H478" s="4">
        <v>1</v>
      </c>
      <c r="I478" s="2" t="s">
        <v>1537</v>
      </c>
      <c r="J478" s="4" t="s">
        <v>1538</v>
      </c>
      <c r="K478" s="3" t="str">
        <f>HYPERLINK("https://www.google.com/maps/reviews/data=!4m8!14m7!1m6!2m5!1sCi9DQUlRQUNvZENodHljRjlvT2w5dmF6SmpXV3h0U1VnMmVUSkdZVzQwUXpOa1NWRRAB!2m1!1s0x0:0x78a3abfbd0248ea0!3m1!1s2@1:CAIQACodChtycF9oOl9vazJjWWxtSUg2eTJGYW40QzNkSVE%7C%7C?hl=en", "View Link")</f>
        <v>View Link</v>
      </c>
      <c r="L478" s="3"/>
    </row>
    <row r="479" spans="1:12" ht="20" customHeight="1">
      <c r="A479" s="2"/>
      <c r="B479" s="2"/>
      <c r="C479" s="2"/>
      <c r="D479" s="2"/>
      <c r="E479" s="3"/>
      <c r="F479" s="4"/>
      <c r="G479" s="5" t="s">
        <v>1539</v>
      </c>
      <c r="H479" s="4">
        <v>1</v>
      </c>
      <c r="I479" s="2" t="s">
        <v>1540</v>
      </c>
      <c r="J479" s="4" t="s">
        <v>1541</v>
      </c>
      <c r="K479" s="3" t="str">
        <f>HYPERLINK("https://www.google.com/maps/reviews/data=!4m8!14m7!1m6!2m5!1sCi9DQUlRQUNvZENodHljRjlvT25oelQwWkpWRko2UjBJeVpsQjBURXhZUTJzMGRrRRAB!2m1!1s0x0:0x78a3abfbd0248ea0!3m1!1s2@1:CAIQACodChtycF9oOnhzT0ZJVFJ6R0IyZlB0TExYQ2s0dkE%7C%7C?hl=en", "View Link")</f>
        <v>View Link</v>
      </c>
      <c r="L479" s="3"/>
    </row>
    <row r="480" spans="1:12" ht="20" customHeight="1">
      <c r="A480" s="2"/>
      <c r="B480" s="2"/>
      <c r="C480" s="2"/>
      <c r="D480" s="2"/>
      <c r="E480" s="3"/>
      <c r="F480" s="4"/>
      <c r="G480" s="5" t="s">
        <v>1542</v>
      </c>
      <c r="H480" s="4">
        <v>1</v>
      </c>
      <c r="I480" s="2" t="s">
        <v>1543</v>
      </c>
      <c r="J480" s="4" t="s">
        <v>1544</v>
      </c>
      <c r="K480" s="3" t="str">
        <f>HYPERLINK("https://www.google.com/maps/reviews/data=!4m8!14m7!1m6!2m5!1sCi9DQUlRQUNvZENodHljRjlvT2xSeFYxTTNTVXM1UTJGMGFHTjNiMlZET0U4NVRXYxAB!2m1!1s0x0:0x78a3abfbd0248ea0!3m1!1s2@1:CAIQACodChtycF9oOlRxV1M3SUs5Q2F0aGN3b2VDOE85TWc%7C%7C?hl=en", "View Link")</f>
        <v>View Link</v>
      </c>
      <c r="L480" s="3"/>
    </row>
    <row r="481" spans="1:12" ht="20" customHeight="1">
      <c r="A481" s="2"/>
      <c r="B481" s="2"/>
      <c r="C481" s="2"/>
      <c r="D481" s="2"/>
      <c r="E481" s="3"/>
      <c r="F481" s="4"/>
      <c r="G481" s="5" t="s">
        <v>1545</v>
      </c>
      <c r="H481" s="4">
        <v>1</v>
      </c>
      <c r="I481" s="2" t="s">
        <v>1546</v>
      </c>
      <c r="J481" s="4" t="s">
        <v>1547</v>
      </c>
      <c r="K481" s="3" t="str">
        <f>HYPERLINK("https://www.google.com/maps/reviews/data=!4m8!14m7!1m6!2m5!1sCi9DQUlRQUNvZENodHljRjlvT21Od1pFaDZYMGxTWHpkTE1UVkVNMmxSZEZjMGJWRRAB!2m1!1s0x0:0x78a3abfbd0248ea0!3m1!1s2@1:CAIQACodChtycF9oOmNwZEh6X0lSXzdLMTVEM2lRdFc0bVE%7C%7C?hl=en", "View Link")</f>
        <v>View Link</v>
      </c>
      <c r="L481" s="3"/>
    </row>
    <row r="482" spans="1:12" ht="20" customHeight="1">
      <c r="A482" s="2"/>
      <c r="B482" s="2"/>
      <c r="C482" s="2"/>
      <c r="D482" s="2"/>
      <c r="E482" s="3"/>
      <c r="F482" s="4"/>
      <c r="G482" s="5" t="s">
        <v>1548</v>
      </c>
      <c r="H482" s="4">
        <v>1</v>
      </c>
      <c r="I482" s="2" t="s">
        <v>1549</v>
      </c>
      <c r="J482" s="4" t="s">
        <v>1550</v>
      </c>
      <c r="K482" s="3" t="str">
        <f>HYPERLINK("https://www.google.com/maps/reviews/data=!4m8!14m7!1m6!2m5!1sCi9DQUlRQUNvZENodHljRjlvT2pCU2FVb3hlV2RSWDFGdWNuQmtWV1p0Wm14MUxVRRAB!2m1!1s0x0:0x78a3abfbd0248ea0!3m1!1s2@1:CAIQACodChtycF9oOjBSaUoxeWdRX1FucnBkVWZtZmx1LUE%7C%7C?hl=en", "View Link")</f>
        <v>View Link</v>
      </c>
      <c r="L482" s="3"/>
    </row>
    <row r="483" spans="1:12" ht="20" customHeight="1">
      <c r="A483" s="2"/>
      <c r="B483" s="2"/>
      <c r="C483" s="2"/>
      <c r="D483" s="2"/>
      <c r="E483" s="3"/>
      <c r="F483" s="4"/>
      <c r="G483" s="5" t="s">
        <v>1551</v>
      </c>
      <c r="H483" s="4">
        <v>1</v>
      </c>
      <c r="I483" s="2" t="s">
        <v>1552</v>
      </c>
      <c r="J483" s="4" t="s">
        <v>1553</v>
      </c>
      <c r="K483" s="3" t="str">
        <f>HYPERLINK("https://www.google.com/maps/reviews/data=!4m8!14m7!1m6!2m5!1sCi9DQUlRQUNvZENodHljRjlvT2xNeE9EazBXRGczYTNONGRXMTVjalpVV2xkVGNrRRAB!2m1!1s0x0:0x78a3abfbd0248ea0!3m1!1s2@1:CAIQACodChtycF9oOlMxODk0WDg3a3N4dW15cjZUWldTckE%7C%7C?hl=en", "View Link")</f>
        <v>View Link</v>
      </c>
      <c r="L483" s="3"/>
    </row>
    <row r="484" spans="1:12" ht="20" customHeight="1">
      <c r="A484" s="2"/>
      <c r="B484" s="2"/>
      <c r="C484" s="2"/>
      <c r="D484" s="2"/>
      <c r="E484" s="3"/>
      <c r="F484" s="4"/>
      <c r="G484" s="5" t="s">
        <v>1554</v>
      </c>
      <c r="H484" s="4">
        <v>1</v>
      </c>
      <c r="I484" s="2" t="s">
        <v>1555</v>
      </c>
      <c r="J484" s="4" t="s">
        <v>1556</v>
      </c>
      <c r="K484" s="3" t="str">
        <f>HYPERLINK("https://www.google.com/maps/reviews/data=!4m8!14m7!1m6!2m5!1sCi9DQUlRQUNvZENodHljRjlvT2kxcGRubHpUbEZ2YjJvek5qTktNMVo2ZDBGS1MxRRAB!2m1!1s0x0:0x78a3abfbd0248ea0!3m1!1s2@1:CAIQACodChtycF9oOi1pdnlzTlFvb2ozNjNKM1Z6d0FKS1E%7C%7C?hl=en", "View Link")</f>
        <v>View Link</v>
      </c>
      <c r="L484" s="3"/>
    </row>
    <row r="485" spans="1:12" ht="20" customHeight="1">
      <c r="A485" s="2" t="s">
        <v>1557</v>
      </c>
      <c r="B485" s="2" t="s">
        <v>1558</v>
      </c>
      <c r="C485" s="2" t="s">
        <v>1559</v>
      </c>
      <c r="D485" s="2" t="s">
        <v>1560</v>
      </c>
      <c r="E485" s="3">
        <f>HYPERLINK("https://www.comunidad.madrid/hospital/lapaz/", "Visit Website")</f>
        <v>0</v>
      </c>
      <c r="F485" s="4">
        <v>3.6</v>
      </c>
      <c r="G485" s="5" t="s">
        <v>1561</v>
      </c>
      <c r="H485" s="4">
        <v>1</v>
      </c>
      <c r="I485" s="2" t="s">
        <v>1562</v>
      </c>
      <c r="J485" s="4" t="s">
        <v>1563</v>
      </c>
      <c r="K485" s="3" t="str">
        <f>HYPERLINK("https://www.google.com/maps/reviews/data=!4m8!14m7!1m6!2m5!1sCi9DQUlRQUNvZENodHljRjlvT2xkWFRGUkZaVXg1TkdKM1ZHUndlV2RTTFVWRVozYxAB!2m1!1s0x0:0x92e69873c64509d!3m1!1s2@1:CAIQACodChtycF9oOldXTFRFZUx5NGJ3VGRweWdSLUVEZ3c%7C%7C?hl=en", "View Link")</f>
        <v>View Link</v>
      </c>
      <c r="L485" s="3">
        <f>HYPERLINK("https://www.google.com/maps/search/?api=1&amp;query=La%20Paz%20University%20Hospital&amp;query_place_id=ChIJ09D_amkpQg0RnVBkPIdpLgk", "Open Map")</f>
        <v>0</v>
      </c>
    </row>
    <row r="486" spans="1:12" ht="20" customHeight="1">
      <c r="A486" s="2"/>
      <c r="B486" s="2"/>
      <c r="C486" s="2"/>
      <c r="D486" s="2"/>
      <c r="E486" s="3"/>
      <c r="F486" s="4"/>
      <c r="G486" s="5" t="s">
        <v>1564</v>
      </c>
      <c r="H486" s="4">
        <v>1</v>
      </c>
      <c r="I486" s="2" t="s">
        <v>1565</v>
      </c>
      <c r="J486" s="4" t="s">
        <v>1566</v>
      </c>
      <c r="K486" s="3" t="str">
        <f>HYPERLINK("https://www.google.com/maps/reviews/data=!4m8!14m7!1m6!2m5!1sCi9DQUlRQUNvZENodHljRjlvT2psT2MxZGFPRFUzWW1oTmVuZGtSbGRRUkU0NVFVRRAB!2m1!1s0x0:0x92e69873c64509d!3m1!1s2@1:CAIQACodChtycF9oOjlOc1daODU3YmhNendkRldQRE45QUE%7C%7C?hl=en", "View Link")</f>
        <v>View Link</v>
      </c>
      <c r="L486" s="3"/>
    </row>
    <row r="487" spans="1:12" ht="20" customHeight="1">
      <c r="A487" s="2"/>
      <c r="B487" s="2"/>
      <c r="C487" s="2"/>
      <c r="D487" s="2"/>
      <c r="E487" s="3"/>
      <c r="F487" s="4"/>
      <c r="G487" s="5" t="s">
        <v>1567</v>
      </c>
      <c r="H487" s="4">
        <v>1</v>
      </c>
      <c r="I487" s="2" t="s">
        <v>1568</v>
      </c>
      <c r="J487" s="4" t="s">
        <v>1569</v>
      </c>
      <c r="K487" s="3" t="str">
        <f>HYPERLINK("https://www.google.com/maps/reviews/data=!4m8!14m7!1m6!2m5!1sChdDSUhNMG9nS0VJQ0FnSURfdU92MjhnRRAB!2m1!1s0x0:0x92e69873c64509d!3m1!1s2@1:CIHM0ogKEICAgID_uOv28gE%7C%7C?hl=en", "View Link")</f>
        <v>View Link</v>
      </c>
      <c r="L487" s="3"/>
    </row>
    <row r="488" spans="1:12" ht="20" customHeight="1">
      <c r="A488" s="2"/>
      <c r="B488" s="2"/>
      <c r="C488" s="2"/>
      <c r="D488" s="2"/>
      <c r="E488" s="3"/>
      <c r="F488" s="4"/>
      <c r="G488" s="5" t="s">
        <v>1570</v>
      </c>
      <c r="H488" s="4">
        <v>1</v>
      </c>
      <c r="I488" s="2" t="s">
        <v>1571</v>
      </c>
      <c r="J488" s="4" t="s">
        <v>1572</v>
      </c>
      <c r="K488" s="3" t="str">
        <f>HYPERLINK("https://www.google.com/maps/reviews/data=!4m8!14m7!1m6!2m5!1sChdDSUhNMG9nS0VJQ0FnSUNPeGNmU21BRRAB!2m1!1s0x0:0x92e69873c64509d!3m1!1s2@1:CIHM0ogKEICAgICOxcfSmAE%7C%7C?hl=en", "View Link")</f>
        <v>View Link</v>
      </c>
      <c r="L488" s="3"/>
    </row>
    <row r="489" spans="1:12" ht="20" customHeight="1">
      <c r="A489" s="2"/>
      <c r="B489" s="2"/>
      <c r="C489" s="2"/>
      <c r="D489" s="2"/>
      <c r="E489" s="3"/>
      <c r="F489" s="4"/>
      <c r="G489" s="5" t="s">
        <v>1573</v>
      </c>
      <c r="H489" s="4">
        <v>1</v>
      </c>
      <c r="I489" s="2" t="s">
        <v>1574</v>
      </c>
      <c r="J489" s="4" t="s">
        <v>1575</v>
      </c>
      <c r="K489" s="3" t="str">
        <f>HYPERLINK("https://www.google.com/maps/reviews/data=!4m8!14m7!1m6!2m5!1sChdDSUhNMG9nS0VJQ0FnSUNhMm9Idy1RRRAB!2m1!1s0x0:0x92e69873c64509d!3m1!1s2@1:CIHM0ogKEICAgICa2oHw-QE%7C%7C?hl=en", "View Link")</f>
        <v>View Link</v>
      </c>
      <c r="L489" s="3"/>
    </row>
    <row r="490" spans="1:12" ht="20" customHeight="1">
      <c r="A490" s="2"/>
      <c r="B490" s="2"/>
      <c r="C490" s="2"/>
      <c r="D490" s="2"/>
      <c r="E490" s="3"/>
      <c r="F490" s="4"/>
      <c r="G490" s="5" t="s">
        <v>1576</v>
      </c>
      <c r="H490" s="4">
        <v>1</v>
      </c>
      <c r="I490" s="2" t="s">
        <v>1577</v>
      </c>
      <c r="J490" s="4" t="s">
        <v>1578</v>
      </c>
      <c r="K490" s="3" t="str">
        <f>HYPERLINK("https://www.google.com/maps/reviews/data=!4m8!14m7!1m6!2m5!1sChdDSUhNMG9nS0VJQ0FnSUNSbk1hZS1nRRAB!2m1!1s0x0:0x92e69873c64509d!3m1!1s2@1:CIHM0ogKEICAgICRnMae-gE%7C%7C?hl=en", "View Link")</f>
        <v>View Link</v>
      </c>
      <c r="L490" s="3"/>
    </row>
    <row r="491" spans="1:12" ht="20" customHeight="1">
      <c r="A491" s="2"/>
      <c r="B491" s="2"/>
      <c r="C491" s="2"/>
      <c r="D491" s="2"/>
      <c r="E491" s="3"/>
      <c r="F491" s="4"/>
      <c r="G491" s="5" t="s">
        <v>1579</v>
      </c>
      <c r="H491" s="4">
        <v>1</v>
      </c>
      <c r="I491" s="2" t="s">
        <v>1580</v>
      </c>
      <c r="J491" s="4" t="s">
        <v>1581</v>
      </c>
      <c r="K491" s="3" t="str">
        <f>HYPERLINK("https://www.google.com/maps/reviews/data=!4m8!14m7!1m6!2m5!1sCi9DQUlRQUNvZENodHljRjlvT2tVNFpXaEZRVWRTTTJGbFNVbDFiRGRQUW1SVmVHYxAB!2m1!1s0x0:0x92e69873c64509d!3m1!1s2@1:CAIQACodChtycF9oOkU4ZWhFQUdSM2FlSUl1bDdPQmRVeGc%7C%7C?hl=en", "View Link")</f>
        <v>View Link</v>
      </c>
      <c r="L491" s="3"/>
    </row>
    <row r="492" spans="1:12" ht="20" customHeight="1">
      <c r="A492" s="2"/>
      <c r="B492" s="2"/>
      <c r="C492" s="2"/>
      <c r="D492" s="2"/>
      <c r="E492" s="3"/>
      <c r="F492" s="4"/>
      <c r="G492" s="5" t="s">
        <v>1582</v>
      </c>
      <c r="H492" s="4">
        <v>1</v>
      </c>
      <c r="I492" s="2" t="s">
        <v>1583</v>
      </c>
      <c r="J492" s="4" t="s">
        <v>1584</v>
      </c>
      <c r="K492" s="3" t="str">
        <f>HYPERLINK("https://www.google.com/maps/reviews/data=!4m8!14m7!1m6!2m5!1sCi9DQUlRQUNvZENodHljRjlvT2tWT1QwdHZZVEJyVGxBMmJGaDVRMVprUzFCdE1uYxAB!2m1!1s0x0:0x92e69873c64509d!3m1!1s2@1:CAIQACodChtycF9oOkVOT0tvYTBrTlA2bFh5Q1ZkS1BtMnc%7C%7C?hl=en", "View Link")</f>
        <v>View Link</v>
      </c>
      <c r="L492" s="3"/>
    </row>
    <row r="493" spans="1:12" ht="20" customHeight="1">
      <c r="A493" s="2"/>
      <c r="B493" s="2"/>
      <c r="C493" s="2"/>
      <c r="D493" s="2"/>
      <c r="E493" s="3"/>
      <c r="F493" s="4"/>
      <c r="G493" s="5" t="s">
        <v>1585</v>
      </c>
      <c r="H493" s="4">
        <v>1</v>
      </c>
      <c r="I493" s="2" t="s">
        <v>1586</v>
      </c>
      <c r="J493" s="4" t="s">
        <v>1587</v>
      </c>
      <c r="K493" s="3" t="str">
        <f>HYPERLINK("https://www.google.com/maps/reviews/data=!4m8!14m7!1m6!2m5!1sCi9DQUlRQUNvZENodHljRjlvT25aV2JUVkhOR3gxWlRSQmFVMW5NREYwYUd0TFltYxAB!2m1!1s0x0:0x92e69873c64509d!3m1!1s2@1:CAIQACodChtycF9oOnZWbTVHNGx1ZTRBaU1nMDF0aGtLYmc%7C%7C?hl=en", "View Link")</f>
        <v>View Link</v>
      </c>
      <c r="L493" s="3"/>
    </row>
    <row r="494" spans="1:12" ht="20" customHeight="1">
      <c r="A494" s="2"/>
      <c r="B494" s="2"/>
      <c r="C494" s="2"/>
      <c r="D494" s="2"/>
      <c r="E494" s="3"/>
      <c r="F494" s="4"/>
      <c r="G494" s="5" t="s">
        <v>1588</v>
      </c>
      <c r="H494" s="4">
        <v>1</v>
      </c>
      <c r="I494" s="2" t="s">
        <v>1589</v>
      </c>
      <c r="J494" s="4" t="s">
        <v>1590</v>
      </c>
      <c r="K494" s="3" t="str">
        <f>HYPERLINK("https://www.google.com/maps/reviews/data=!4m8!14m7!1m6!2m5!1sCi9DQUlRQUNvZENodHljRjlvT2kxV2NXTm1UVGRITmswd1VuaHdaVzQyV1dsUmRuYxAB!2m1!1s0x0:0x92e69873c64509d!3m1!1s2@1:CAIQACodChtycF9oOi1WcWNmTTdHNk0wUnhwZW42WWlRdnc%7C%7C?hl=en", "View Link")</f>
        <v>View Link</v>
      </c>
      <c r="L494" s="3"/>
    </row>
    <row r="495" spans="1:12" ht="20" customHeight="1">
      <c r="A495" s="2"/>
      <c r="B495" s="2"/>
      <c r="C495" s="2"/>
      <c r="D495" s="2"/>
      <c r="E495" s="3"/>
      <c r="F495" s="4"/>
      <c r="G495" s="5" t="s">
        <v>1591</v>
      </c>
      <c r="H495" s="4">
        <v>1</v>
      </c>
      <c r="I495" s="2" t="s">
        <v>1592</v>
      </c>
      <c r="J495" s="4" t="s">
        <v>1593</v>
      </c>
      <c r="K495" s="3" t="str">
        <f>HYPERLINK("https://www.google.com/maps/reviews/data=!4m8!14m7!1m6!2m5!1sCi9DQUlRQUNvZENodHljRjlvT2xBd1gyZHFZVFJaUW1KdVdteHFSVzFEVm13emJGRRAB!2m1!1s0x0:0x92e69873c64509d!3m1!1s2@1:CAIQACodChtycF9oOlAwX2dqYTRZQmJuWmxqRW1DVmwzbFE%7C%7C?hl=en", "View Link")</f>
        <v>View Link</v>
      </c>
      <c r="L495" s="3"/>
    </row>
    <row r="496" spans="1:12" ht="20" customHeight="1">
      <c r="A496" s="2"/>
      <c r="B496" s="2"/>
      <c r="C496" s="2"/>
      <c r="D496" s="2"/>
      <c r="E496" s="3"/>
      <c r="F496" s="4"/>
      <c r="G496" s="5" t="s">
        <v>1594</v>
      </c>
      <c r="H496" s="4">
        <v>1</v>
      </c>
      <c r="I496" s="2" t="s">
        <v>1595</v>
      </c>
      <c r="J496" s="4" t="s">
        <v>1596</v>
      </c>
      <c r="K496" s="3" t="str">
        <f>HYPERLINK("https://www.google.com/maps/reviews/data=!4m8!14m7!1m6!2m5!1sCi9DQUlRQUNvZENodHljRjlvT21KTk1WaGpUbHBZTWpkUFFVZDRNRFpYTlhveWIxRRAB!2m1!1s0x0:0x92e69873c64509d!3m1!1s2@1:CAIQACodChtycF9oOmJNMVhjTlpYMjdPQUd4MDZXNXoyb1E%7C%7C?hl=en", "View Link")</f>
        <v>View Link</v>
      </c>
      <c r="L496" s="3"/>
    </row>
    <row r="497" spans="1:12" ht="20" customHeight="1">
      <c r="A497" s="2"/>
      <c r="B497" s="2"/>
      <c r="C497" s="2"/>
      <c r="D497" s="2"/>
      <c r="E497" s="3"/>
      <c r="F497" s="4"/>
      <c r="G497" s="5" t="s">
        <v>1597</v>
      </c>
      <c r="H497" s="4">
        <v>1</v>
      </c>
      <c r="I497" s="2" t="s">
        <v>1598</v>
      </c>
      <c r="J497" s="4" t="s">
        <v>1599</v>
      </c>
      <c r="K497" s="3" t="str">
        <f>HYPERLINK("https://www.google.com/maps/reviews/data=!4m8!14m7!1m6!2m5!1sCi9DQUlRQUNvZENodHljRjlvT2kxMFJtcGxaamt3VjNCU1ZIQk5RWGh3TW1vME1GRRAB!2m1!1s0x0:0x92e69873c64509d!3m1!1s2@1:CAIQACodChtycF9oOi10RmplZjkwV3BSVHBNQXhwMmo0MFE%7C%7C?hl=en", "View Link")</f>
        <v>View Link</v>
      </c>
      <c r="L497" s="3"/>
    </row>
    <row r="498" spans="1:12" ht="20" customHeight="1">
      <c r="A498" s="2"/>
      <c r="B498" s="2"/>
      <c r="C498" s="2"/>
      <c r="D498" s="2"/>
      <c r="E498" s="3"/>
      <c r="F498" s="4"/>
      <c r="G498" s="5" t="s">
        <v>1600</v>
      </c>
      <c r="H498" s="4">
        <v>1</v>
      </c>
      <c r="I498" s="2" t="s">
        <v>1601</v>
      </c>
      <c r="J498" s="4" t="s">
        <v>1602</v>
      </c>
      <c r="K498" s="3" t="str">
        <f>HYPERLINK("https://www.google.com/maps/reviews/data=!4m8!14m7!1m6!2m5!1sCi9DQUlRQUNvZENodHljRjlvT201MlJHUklZbTF2Wm1sbE5reFlObDloY2pKRGRsRRAB!2m1!1s0x0:0x92e69873c64509d!3m1!1s2@1:CAIQACodChtycF9oOm52RGRIYm1vZmllNkxYNl9hcjJDdlE%7C%7C?hl=en", "View Link")</f>
        <v>View Link</v>
      </c>
      <c r="L498" s="3"/>
    </row>
    <row r="499" spans="1:12" ht="20" customHeight="1">
      <c r="A499" s="2"/>
      <c r="B499" s="2"/>
      <c r="C499" s="2"/>
      <c r="D499" s="2"/>
      <c r="E499" s="3"/>
      <c r="F499" s="4"/>
      <c r="G499" s="5" t="s">
        <v>1603</v>
      </c>
      <c r="H499" s="4">
        <v>1</v>
      </c>
      <c r="I499" s="2" t="s">
        <v>1604</v>
      </c>
      <c r="J499" s="4" t="s">
        <v>1605</v>
      </c>
      <c r="K499" s="3" t="str">
        <f>HYPERLINK("https://www.google.com/maps/reviews/data=!4m8!14m7!1m6!2m5!1sCi9DQUlRQUNvZENodHljRjlvT2poWWNrdG1RM2R5UlU1ME9GRk1abVZuTTBWcFJGRRAB!2m1!1s0x0:0x92e69873c64509d!3m1!1s2@1:CAIQACodChtycF9oOjhYcktmQ3dyRU50OFFMZmVnM0VpRFE%7C%7C?hl=en", "View Link")</f>
        <v>View Link</v>
      </c>
      <c r="L499" s="3"/>
    </row>
    <row r="500" spans="1:12" ht="20" customHeight="1">
      <c r="A500" s="2"/>
      <c r="B500" s="2"/>
      <c r="C500" s="2"/>
      <c r="D500" s="2"/>
      <c r="E500" s="3"/>
      <c r="F500" s="4"/>
      <c r="G500" s="5" t="s">
        <v>1606</v>
      </c>
      <c r="H500" s="4">
        <v>1</v>
      </c>
      <c r="I500" s="2" t="s">
        <v>1607</v>
      </c>
      <c r="J500" s="4" t="s">
        <v>1608</v>
      </c>
      <c r="K500" s="3" t="str">
        <f>HYPERLINK("https://www.google.com/maps/reviews/data=!4m8!14m7!1m6!2m5!1sChZDSUhNMG9nS0VJQ0FnSUN6NkpQQUZBEAE!2m1!1s0x0:0x92e69873c64509d!3m1!1s2@1:CIHM0ogKEICAgICz6JPAFA%7C%7C?hl=en", "View Link")</f>
        <v>View Link</v>
      </c>
      <c r="L500" s="3"/>
    </row>
    <row r="501" spans="1:12" ht="20" customHeight="1">
      <c r="A501" s="2"/>
      <c r="B501" s="2"/>
      <c r="C501" s="2"/>
      <c r="D501" s="2"/>
      <c r="E501" s="3"/>
      <c r="F501" s="4"/>
      <c r="G501" s="5" t="s">
        <v>1609</v>
      </c>
      <c r="H501" s="4">
        <v>1</v>
      </c>
      <c r="I501" s="2" t="s">
        <v>1610</v>
      </c>
      <c r="J501" s="4" t="s">
        <v>1611</v>
      </c>
      <c r="K501" s="3" t="str">
        <f>HYPERLINK("https://www.google.com/maps/reviews/data=!4m8!14m7!1m6!2m5!1sCi9DQUlRQUNvZENodHljRjlvT2xOYWRWcE5XV0ZKTkRGYU9GaFlPRkEzWVRsYVMxRRAB!2m1!1s0x0:0x92e69873c64509d!3m1!1s2@1:CAIQACodChtycF9oOlNadVpNWWFJNDFaOFhYOFA3YTlaS1E%7C%7C?hl=en", "View Link")</f>
        <v>View Link</v>
      </c>
      <c r="L501" s="3"/>
    </row>
    <row r="502" spans="1:12" ht="20" customHeight="1">
      <c r="A502" s="2"/>
      <c r="B502" s="2"/>
      <c r="C502" s="2"/>
      <c r="D502" s="2"/>
      <c r="E502" s="3"/>
      <c r="F502" s="4"/>
      <c r="G502" s="5" t="s">
        <v>1612</v>
      </c>
      <c r="H502" s="4">
        <v>1</v>
      </c>
      <c r="I502" s="2" t="s">
        <v>1613</v>
      </c>
      <c r="J502" s="4" t="s">
        <v>1614</v>
      </c>
      <c r="K502" s="3" t="str">
        <f>HYPERLINK("https://www.google.com/maps/reviews/data=!4m8!14m7!1m6!2m5!1sCi9DQUlRQUNvZENodHljRjlvT21GMFkza3hjRGxtVFVjelJ6WnhSalpPWTBnMU5FRRAB!2m1!1s0x0:0x92e69873c64509d!3m1!1s2@1:CAIQACodChtycF9oOmF0Y3kxcDlmTUczRzZxRjZOY0g1NEE%7C%7C?hl=en", "View Link")</f>
        <v>View Link</v>
      </c>
      <c r="L502" s="3"/>
    </row>
    <row r="503" spans="1:12" ht="20" customHeight="1">
      <c r="A503" s="2"/>
      <c r="B503" s="2"/>
      <c r="C503" s="2"/>
      <c r="D503" s="2"/>
      <c r="E503" s="3"/>
      <c r="F503" s="4"/>
      <c r="G503" s="5" t="s">
        <v>1615</v>
      </c>
      <c r="H503" s="4">
        <v>1</v>
      </c>
      <c r="I503" s="2" t="s">
        <v>1616</v>
      </c>
      <c r="J503" s="4" t="s">
        <v>1617</v>
      </c>
      <c r="K503" s="3" t="str">
        <f>HYPERLINK("https://www.google.com/maps/reviews/data=!4m8!14m7!1m6!2m5!1sCi9DQUlRQUNvZENodHljRjlvT2pRdFNGUnNWVE5wVUVsV2NrUlpZM0V4ZFVFNGFYYxAB!2m1!1s0x0:0x92e69873c64509d!3m1!1s2@1:CAIQACodChtycF9oOjQtSFRsVTNpUElWckRZY3ExdUE4aXc%7C%7C?hl=en", "View Link")</f>
        <v>View Link</v>
      </c>
      <c r="L503" s="3"/>
    </row>
    <row r="504" spans="1:12" ht="20" customHeight="1">
      <c r="A504" s="2"/>
      <c r="B504" s="2"/>
      <c r="C504" s="2"/>
      <c r="D504" s="2"/>
      <c r="E504" s="3"/>
      <c r="F504" s="4"/>
      <c r="G504" s="5" t="s">
        <v>1618</v>
      </c>
      <c r="H504" s="4">
        <v>1</v>
      </c>
      <c r="I504" s="2" t="s">
        <v>1619</v>
      </c>
      <c r="J504" s="4" t="s">
        <v>1620</v>
      </c>
      <c r="K504" s="3" t="str">
        <f>HYPERLINK("https://www.google.com/maps/reviews/data=!4m8!14m7!1m6!2m5!1sCi9DQUlRQUNvZENodHljRjlvT2xwS1ZsSmZSV3AyYW5kVVUxcGhWM1l4WTBkV1RXYxAB!2m1!1s0x0:0x92e69873c64509d!3m1!1s2@1:CAIQACodChtycF9oOlpKVlJfRWp2andUU1phV3YxY0dWTWc%7C%7C?hl=en", "View Link")</f>
        <v>View Link</v>
      </c>
      <c r="L504" s="3"/>
    </row>
    <row r="505" spans="1:12" ht="20" customHeight="1">
      <c r="A505" s="2" t="s">
        <v>1621</v>
      </c>
      <c r="B505" s="2" t="s">
        <v>1622</v>
      </c>
      <c r="C505" s="2" t="s">
        <v>1623</v>
      </c>
      <c r="D505" s="2" t="s">
        <v>89</v>
      </c>
      <c r="E505" s="3">
        <f>HYPERLINK("https://olympia.quironsalud.es/", "Visit Website")</f>
        <v>0</v>
      </c>
      <c r="F505" s="4">
        <v>3.3</v>
      </c>
      <c r="G505" s="5" t="s">
        <v>1624</v>
      </c>
      <c r="H505" s="4">
        <v>1</v>
      </c>
      <c r="I505" s="2" t="s">
        <v>1625</v>
      </c>
      <c r="J505" s="4" t="s">
        <v>1626</v>
      </c>
      <c r="K505" s="3" t="str">
        <f>HYPERLINK("https://www.google.com/maps/reviews/data=!4m8!14m7!1m6!2m5!1sCi9DQUlRQUNvZENodHljRjlvT2paTVRFWlNPWFYxTmtWSVNrRTVZM2hFWWxKYVJrRRAB!2m1!1s0x0:0xd930452ec63a54da!3m1!1s2@1:CAIQACodChtycF9oOjZMTEZSOXV1NkVISkE5Y3hEYlJaRkE%7C%7C?hl=en", "View Link")</f>
        <v>View Link</v>
      </c>
      <c r="L505" s="3">
        <f>HYPERLINK("https://www.google.com/maps/search/?api=1&amp;query=Olympia%20-%20Grupo%20Quir%C3%B3nsalud&amp;query_place_id=ChIJ74M_ukMpQg0R2lQ6xi5FMNk", "Open Map")</f>
        <v>0</v>
      </c>
    </row>
    <row r="506" spans="1:12" ht="20" customHeight="1">
      <c r="A506" s="2"/>
      <c r="B506" s="2"/>
      <c r="C506" s="2"/>
      <c r="D506" s="2"/>
      <c r="E506" s="3"/>
      <c r="F506" s="4"/>
      <c r="G506" s="5" t="s">
        <v>1627</v>
      </c>
      <c r="H506" s="4">
        <v>1</v>
      </c>
      <c r="I506" s="2" t="s">
        <v>1628</v>
      </c>
      <c r="J506" s="4" t="s">
        <v>1629</v>
      </c>
      <c r="K506" s="3" t="str">
        <f>HYPERLINK("https://www.google.com/maps/reviews/data=!4m8!14m7!1m6!2m5!1sCi9DQUlRQUNvZENodHljRjlvT2sxclJreFJTbGwzWjBSSGNHeFZRWEZ5UW5kNGIzYxAB!2m1!1s0x0:0xd930452ec63a54da!3m1!1s2@1:CAIQACodChtycF9oOk1rRkxRSll3Z0RHcGxVQXFyQnd4b3c%7C%7C?hl=en", "View Link")</f>
        <v>View Link</v>
      </c>
      <c r="L506" s="3"/>
    </row>
    <row r="507" spans="1:12" ht="20" customHeight="1">
      <c r="A507" s="2"/>
      <c r="B507" s="2"/>
      <c r="C507" s="2"/>
      <c r="D507" s="2"/>
      <c r="E507" s="3"/>
      <c r="F507" s="4"/>
      <c r="G507" s="5" t="s">
        <v>1630</v>
      </c>
      <c r="H507" s="4">
        <v>1</v>
      </c>
      <c r="I507" s="2" t="s">
        <v>1631</v>
      </c>
      <c r="J507" s="4" t="s">
        <v>1632</v>
      </c>
      <c r="K507" s="3" t="str">
        <f>HYPERLINK("https://www.google.com/maps/reviews/data=!4m8!14m7!1m6!2m5!1sChZDSUhNMG9nS0VJQ0FnTUNRNnZHclVBEAE!2m1!1s0x0:0xd930452ec63a54da!3m1!1s2@1:CIHM0ogKEICAgMCQ6vGrUA%7C%7C?hl=en", "View Link")</f>
        <v>View Link</v>
      </c>
      <c r="L507" s="3"/>
    </row>
    <row r="508" spans="1:12" ht="20" customHeight="1">
      <c r="A508" s="2"/>
      <c r="B508" s="2"/>
      <c r="C508" s="2"/>
      <c r="D508" s="2"/>
      <c r="E508" s="3"/>
      <c r="F508" s="4"/>
      <c r="G508" s="5" t="s">
        <v>1633</v>
      </c>
      <c r="H508" s="4">
        <v>1</v>
      </c>
      <c r="I508" s="2" t="s">
        <v>1634</v>
      </c>
      <c r="J508" s="4" t="s">
        <v>1635</v>
      </c>
      <c r="K508" s="3" t="str">
        <f>HYPERLINK("https://www.google.com/maps/reviews/data=!4m8!14m7!1m6!2m5!1sChZDSUhNMG9nS0VJQ0FnTURnX29HRVpnEAE!2m1!1s0x0:0xd930452ec63a54da!3m1!1s2@1:CIHM0ogKEICAgMDg_oGEZg%7C%7C?hl=en", "View Link")</f>
        <v>View Link</v>
      </c>
      <c r="L508" s="3"/>
    </row>
    <row r="509" spans="1:12" ht="20" customHeight="1">
      <c r="A509" s="2"/>
      <c r="B509" s="2"/>
      <c r="C509" s="2"/>
      <c r="D509" s="2"/>
      <c r="E509" s="3"/>
      <c r="F509" s="4"/>
      <c r="G509" s="5" t="s">
        <v>1636</v>
      </c>
      <c r="H509" s="4">
        <v>1</v>
      </c>
      <c r="I509" s="2" t="s">
        <v>1637</v>
      </c>
      <c r="J509" s="4" t="s">
        <v>1638</v>
      </c>
      <c r="K509" s="3" t="str">
        <f>HYPERLINK("https://www.google.com/maps/reviews/data=!4m8!14m7!1m6!2m5!1sChZDSUhNMG9nS0VJQ0FnSURQbEpiVVdREAE!2m1!1s0x0:0xd930452ec63a54da!3m1!1s2@1:CIHM0ogKEICAgIDPlJbUWQ%7C%7C?hl=en", "View Link")</f>
        <v>View Link</v>
      </c>
      <c r="L509" s="3"/>
    </row>
    <row r="510" spans="1:12" ht="20" customHeight="1">
      <c r="A510" s="2"/>
      <c r="B510" s="2"/>
      <c r="C510" s="2"/>
      <c r="D510" s="2"/>
      <c r="E510" s="3"/>
      <c r="F510" s="4"/>
      <c r="G510" s="5" t="s">
        <v>1639</v>
      </c>
      <c r="H510" s="4">
        <v>1</v>
      </c>
      <c r="I510" s="2" t="s">
        <v>1640</v>
      </c>
      <c r="J510" s="4" t="s">
        <v>1641</v>
      </c>
      <c r="K510" s="3" t="str">
        <f>HYPERLINK("https://www.google.com/maps/reviews/data=!4m8!14m7!1m6!2m5!1sCi9DQUlRQUNvZENodHljRjlvT21jeVZIUnpPVk5MYW1WeFZqQk1RVXN0V0dreFNGRRAB!2m1!1s0x0:0xd930452ec63a54da!3m1!1s2@1:CAIQACodChtycF9oOmcyVHRzOVNLamVxVjBMQUstWGkxSFE%7C%7C?hl=en", "View Link")</f>
        <v>View Link</v>
      </c>
      <c r="L510" s="3"/>
    </row>
    <row r="511" spans="1:12" ht="20" customHeight="1">
      <c r="A511" s="2"/>
      <c r="B511" s="2"/>
      <c r="C511" s="2"/>
      <c r="D511" s="2"/>
      <c r="E511" s="3"/>
      <c r="F511" s="4"/>
      <c r="G511" s="5" t="s">
        <v>1642</v>
      </c>
      <c r="H511" s="4">
        <v>1</v>
      </c>
      <c r="I511" s="2" t="s">
        <v>1643</v>
      </c>
      <c r="J511" s="4" t="s">
        <v>1644</v>
      </c>
      <c r="K511" s="3" t="str">
        <f>HYPERLINK("https://www.google.com/maps/reviews/data=!4m8!14m7!1m6!2m5!1sChdDSUhNMG9nS0VJQ0FnSUN2OWVTMXBnRRAB!2m1!1s0x0:0xd930452ec63a54da!3m1!1s2@1:CIHM0ogKEICAgICv9eS1pgE%7C%7C?hl=en", "View Link")</f>
        <v>View Link</v>
      </c>
      <c r="L511" s="3"/>
    </row>
    <row r="512" spans="1:12" ht="20" customHeight="1">
      <c r="A512" s="2"/>
      <c r="B512" s="2"/>
      <c r="C512" s="2"/>
      <c r="D512" s="2"/>
      <c r="E512" s="3"/>
      <c r="F512" s="4"/>
      <c r="G512" s="5" t="s">
        <v>1645</v>
      </c>
      <c r="H512" s="4">
        <v>1</v>
      </c>
      <c r="I512" s="2" t="s">
        <v>1646</v>
      </c>
      <c r="J512" s="4" t="s">
        <v>1647</v>
      </c>
      <c r="K512" s="3" t="str">
        <f>HYPERLINK("https://www.google.com/maps/reviews/data=!4m8!14m7!1m6!2m5!1sCi9DQUlRQUNvZENodHljRjlvT2xwTGNVZDBSWEZFYXpCeU4yUndVRXB1ZEV0RWQzYxAB!2m1!1s0x0:0xd930452ec63a54da!3m1!1s2@1:CAIQACodChtycF9oOlpLcUd0RXFEazByN2RwUEpudEtEd3c%7C%7C?hl=en", "View Link")</f>
        <v>View Link</v>
      </c>
      <c r="L512" s="3"/>
    </row>
    <row r="513" spans="1:12" ht="20" customHeight="1">
      <c r="A513" s="2"/>
      <c r="B513" s="2"/>
      <c r="C513" s="2"/>
      <c r="D513" s="2"/>
      <c r="E513" s="3"/>
      <c r="F513" s="4"/>
      <c r="G513" s="5" t="s">
        <v>1648</v>
      </c>
      <c r="H513" s="4">
        <v>1</v>
      </c>
      <c r="I513" s="2" t="s">
        <v>1649</v>
      </c>
      <c r="J513" s="4" t="s">
        <v>1650</v>
      </c>
      <c r="K513" s="3" t="str">
        <f>HYPERLINK("https://www.google.com/maps/reviews/data=!4m8!14m7!1m6!2m5!1sCi9DQUlRQUNvZENodHljRjlvT2xaRFgyaFpORFo0UkMxZmNVVlhVMEZ0ZEhKaVNGRRAB!2m1!1s0x0:0xd930452ec63a54da!3m1!1s2@1:CAIQACodChtycF9oOlZDX2hZNDZ4RC1fcUVXU0FtdHJiSFE%7C%7C?hl=en", "View Link")</f>
        <v>View Link</v>
      </c>
      <c r="L513" s="3"/>
    </row>
    <row r="514" spans="1:12" ht="20" customHeight="1">
      <c r="A514" s="2"/>
      <c r="B514" s="2"/>
      <c r="C514" s="2"/>
      <c r="D514" s="2"/>
      <c r="E514" s="3"/>
      <c r="F514" s="4"/>
      <c r="G514" s="5" t="s">
        <v>1651</v>
      </c>
      <c r="H514" s="4">
        <v>1</v>
      </c>
      <c r="I514" s="2" t="s">
        <v>1652</v>
      </c>
      <c r="J514" s="4" t="s">
        <v>1653</v>
      </c>
      <c r="K514" s="3" t="str">
        <f>HYPERLINK("https://www.google.com/maps/reviews/data=!4m8!14m7!1m6!2m5!1sCi9DQUlRQUNvZENodHljRjlvT25aaFN6TjJPVXBYUkhKTFl6VXhjblJ3T1ZGdmIzYxAB!2m1!1s0x0:0xd930452ec63a54da!3m1!1s2@1:CAIQACodChtycF9oOnZhSzN2OUpXRHJLYzUxcnRwOVFvb3c%7C%7C?hl=en", "View Link")</f>
        <v>View Link</v>
      </c>
      <c r="L514" s="3"/>
    </row>
    <row r="515" spans="1:12" ht="20" customHeight="1">
      <c r="A515" s="2"/>
      <c r="B515" s="2"/>
      <c r="C515" s="2"/>
      <c r="D515" s="2"/>
      <c r="E515" s="3"/>
      <c r="F515" s="4"/>
      <c r="G515" s="5" t="s">
        <v>1654</v>
      </c>
      <c r="H515" s="4">
        <v>1</v>
      </c>
      <c r="I515" s="2" t="s">
        <v>1655</v>
      </c>
      <c r="J515" s="4" t="s">
        <v>1656</v>
      </c>
      <c r="K515" s="3" t="str">
        <f>HYPERLINK("https://www.google.com/maps/reviews/data=!4m8!14m7!1m6!2m5!1sCi9DQUlRQUNvZENodHljRjlvT2t0elZubHJSWEZ1UjIxQ1MzVkpVbU5HZWpoUmNVRRAB!2m1!1s0x0:0xd930452ec63a54da!3m1!1s2@1:CAIQACodChtycF9oOktzVnlrRXFuR21CS3VJUmNGejhRcUE%7C%7C?hl=en", "View Link")</f>
        <v>View Link</v>
      </c>
      <c r="L515" s="3"/>
    </row>
    <row r="516" spans="1:12" ht="20" customHeight="1">
      <c r="A516" s="2"/>
      <c r="B516" s="2"/>
      <c r="C516" s="2"/>
      <c r="D516" s="2"/>
      <c r="E516" s="3"/>
      <c r="F516" s="4"/>
      <c r="G516" s="5" t="s">
        <v>1657</v>
      </c>
      <c r="H516" s="4">
        <v>1</v>
      </c>
      <c r="I516" s="2" t="s">
        <v>1658</v>
      </c>
      <c r="J516" s="4" t="s">
        <v>1659</v>
      </c>
      <c r="K516" s="3" t="str">
        <f>HYPERLINK("https://www.google.com/maps/reviews/data=!4m8!14m7!1m6!2m5!1sCi9DQUlRQUNvZENodHljRjlvT2xCd1VIaFNXVmgzVWpseFFqQlFUR1F4V2s1VFgyYxAB!2m1!1s0x0:0xd930452ec63a54da!3m1!1s2@1:CAIQACodChtycF9oOlBwUHhSWVh3UjlxQjBQTGQxWk5TX2c%7C%7C?hl=en", "View Link")</f>
        <v>View Link</v>
      </c>
      <c r="L516" s="3"/>
    </row>
    <row r="517" spans="1:12" ht="20" customHeight="1">
      <c r="A517" s="2"/>
      <c r="B517" s="2"/>
      <c r="C517" s="2"/>
      <c r="D517" s="2"/>
      <c r="E517" s="3"/>
      <c r="F517" s="4"/>
      <c r="G517" s="5" t="s">
        <v>1660</v>
      </c>
      <c r="H517" s="4">
        <v>1</v>
      </c>
      <c r="I517" s="2" t="s">
        <v>1661</v>
      </c>
      <c r="J517" s="4" t="s">
        <v>1662</v>
      </c>
      <c r="K517" s="3" t="str">
        <f>HYPERLINK("https://www.google.com/maps/reviews/data=!4m8!14m7!1m6!2m5!1sCi9DQUlRQUNvZENodHljRjlvT2xsaFFrUnlMVmRYTTI5cGJXVnNSQzFWY0ZKd05uYxAB!2m1!1s0x0:0xd930452ec63a54da!3m1!1s2@1:CAIQACodChtycF9oOllhQkRyLVdXM29pbWVsRC1VcFJwNnc%7C%7C?hl=en", "View Link")</f>
        <v>View Link</v>
      </c>
      <c r="L517" s="3"/>
    </row>
    <row r="518" spans="1:12" ht="20" customHeight="1">
      <c r="A518" s="2"/>
      <c r="B518" s="2"/>
      <c r="C518" s="2"/>
      <c r="D518" s="2"/>
      <c r="E518" s="3"/>
      <c r="F518" s="4"/>
      <c r="G518" s="5" t="s">
        <v>1663</v>
      </c>
      <c r="H518" s="4">
        <v>1</v>
      </c>
      <c r="I518" s="2" t="s">
        <v>1664</v>
      </c>
      <c r="J518" s="4" t="s">
        <v>1665</v>
      </c>
      <c r="K518" s="3" t="str">
        <f>HYPERLINK("https://www.google.com/maps/reviews/data=!4m8!14m7!1m6!2m5!1sCi9DQUlRQUNvZENodHljRjlvT21WdlpUYzRZVzl6Tms5dFMxb3hlRUZTVG14ZlYxRRAB!2m1!1s0x0:0xd930452ec63a54da!3m1!1s2@1:CAIQACodChtycF9oOmVvZTc4YW9zNk9tS1oxeEFSTmxfV1E%7C%7C?hl=en", "View Link")</f>
        <v>View Link</v>
      </c>
      <c r="L518" s="3"/>
    </row>
    <row r="519" spans="1:12" ht="20" customHeight="1">
      <c r="A519" s="2"/>
      <c r="B519" s="2"/>
      <c r="C519" s="2"/>
      <c r="D519" s="2"/>
      <c r="E519" s="3"/>
      <c r="F519" s="4"/>
      <c r="G519" s="5" t="s">
        <v>1666</v>
      </c>
      <c r="H519" s="4">
        <v>1</v>
      </c>
      <c r="I519" s="2" t="s">
        <v>1667</v>
      </c>
      <c r="J519" s="4" t="s">
        <v>1668</v>
      </c>
      <c r="K519" s="3" t="str">
        <f>HYPERLINK("https://www.google.com/maps/reviews/data=!4m8!14m7!1m6!2m5!1sCi9DQUlRQUNvZENodHljRjlvT21kVmRIZGxOR1ZETTFsMk0yZFZOblZNYUZCS2VHYxAB!2m1!1s0x0:0xd930452ec63a54da!3m1!1s2@1:CAIQACodChtycF9oOmdVdHdlNGVDM1l2M2dVNnVMaFBKeGc%7C%7C?hl=en", "View Link")</f>
        <v>View Link</v>
      </c>
      <c r="L519" s="3"/>
    </row>
    <row r="520" spans="1:12" ht="20" customHeight="1">
      <c r="A520" s="2"/>
      <c r="B520" s="2"/>
      <c r="C520" s="2"/>
      <c r="D520" s="2"/>
      <c r="E520" s="3"/>
      <c r="F520" s="4"/>
      <c r="G520" s="5" t="s">
        <v>1669</v>
      </c>
      <c r="H520" s="4">
        <v>1</v>
      </c>
      <c r="I520" s="2" t="s">
        <v>1670</v>
      </c>
      <c r="J520" s="4" t="s">
        <v>1671</v>
      </c>
      <c r="K520" s="3" t="str">
        <f>HYPERLINK("https://www.google.com/maps/reviews/data=!4m8!14m7!1m6!2m5!1sCi9DQUlRQUNvZENodHljRjlvT2xSWWJETlFSVkJsTUhKUVNsWTNhMG80Y0dKWUxXYxAB!2m1!1s0x0:0xd930452ec63a54da!3m1!1s2@1:CAIQACodChtycF9oOlRYbDNQRVBlMHJQSlY3a0o4cGJYLWc%7C%7C?hl=en", "View Link")</f>
        <v>View Link</v>
      </c>
      <c r="L520" s="3"/>
    </row>
    <row r="521" spans="1:12" ht="20" customHeight="1">
      <c r="A521" s="2"/>
      <c r="B521" s="2"/>
      <c r="C521" s="2"/>
      <c r="D521" s="2"/>
      <c r="E521" s="3"/>
      <c r="F521" s="4"/>
      <c r="G521" s="5" t="s">
        <v>1672</v>
      </c>
      <c r="H521" s="4">
        <v>1</v>
      </c>
      <c r="I521" s="2" t="s">
        <v>1673</v>
      </c>
      <c r="J521" s="4" t="s">
        <v>1674</v>
      </c>
      <c r="K521" s="3" t="str">
        <f>HYPERLINK("https://www.google.com/maps/reviews/data=!4m8!14m7!1m6!2m5!1sCi9DQUlRQUNvZENodHljRjlvT21Od2IzUkRNV1JyZFZCbGEwNXZZbkZRYm5sTWVGRRAB!2m1!1s0x0:0xd930452ec63a54da!3m1!1s2@1:CAIQACodChtycF9oOmNwb3RDMWRrdVBla05vYnFQbnlMeFE%7C%7C?hl=en", "View Link")</f>
        <v>View Link</v>
      </c>
      <c r="L521" s="3"/>
    </row>
    <row r="522" spans="1:12" ht="20" customHeight="1">
      <c r="A522" s="2"/>
      <c r="B522" s="2"/>
      <c r="C522" s="2"/>
      <c r="D522" s="2"/>
      <c r="E522" s="3"/>
      <c r="F522" s="4"/>
      <c r="G522" s="5" t="s">
        <v>1675</v>
      </c>
      <c r="H522" s="4">
        <v>1</v>
      </c>
      <c r="I522" s="2" t="s">
        <v>1676</v>
      </c>
      <c r="J522" s="4" t="s">
        <v>1677</v>
      </c>
      <c r="K522" s="3" t="str">
        <f>HYPERLINK("https://www.google.com/maps/reviews/data=!4m8!14m7!1m6!2m5!1sCi9DQUlRQUNvZENodHljRjlvT25ac2FsbEdhVVZxWjBaeFRGRTJTbXhaYm5kVGJIYxAB!2m1!1s0x0:0xd930452ec63a54da!3m1!1s2@1:CAIQACodChtycF9oOnZsallGaUVqZ0ZxTFE2SmxZbndTbHc%7C%7C?hl=en", "View Link")</f>
        <v>View Link</v>
      </c>
      <c r="L522" s="3"/>
    </row>
    <row r="523" spans="1:12" ht="20" customHeight="1">
      <c r="A523" s="2"/>
      <c r="B523" s="2"/>
      <c r="C523" s="2"/>
      <c r="D523" s="2"/>
      <c r="E523" s="3"/>
      <c r="F523" s="4"/>
      <c r="G523" s="5" t="s">
        <v>1678</v>
      </c>
      <c r="H523" s="4">
        <v>1</v>
      </c>
      <c r="I523" s="2" t="s">
        <v>1679</v>
      </c>
      <c r="J523" s="4" t="s">
        <v>1680</v>
      </c>
      <c r="K523" s="3" t="str">
        <f>HYPERLINK("https://www.google.com/maps/reviews/data=!4m8!14m7!1m6!2m5!1sCi9DQUlRQUNvZENodHljRjlvT2pKbFFsbGxVaTF5T1RremJrZEVNR0YxTTNWS2QzYxAB!2m1!1s0x0:0xd930452ec63a54da!3m1!1s2@1:CAIQACodChtycF9oOjJlQlllUi1yOTkzbkdEMGF1M3VKd3c%7C%7C?hl=en", "View Link")</f>
        <v>View Link</v>
      </c>
      <c r="L523" s="3"/>
    </row>
    <row r="524" spans="1:12" ht="20" customHeight="1">
      <c r="A524" s="2"/>
      <c r="B524" s="2"/>
      <c r="C524" s="2"/>
      <c r="D524" s="2"/>
      <c r="E524" s="3"/>
      <c r="F524" s="4"/>
      <c r="G524" s="5" t="s">
        <v>1681</v>
      </c>
      <c r="H524" s="4">
        <v>1</v>
      </c>
      <c r="I524" s="2" t="s">
        <v>1682</v>
      </c>
      <c r="J524" s="4" t="s">
        <v>1683</v>
      </c>
      <c r="K524" s="3" t="str">
        <f>HYPERLINK("https://www.google.com/maps/reviews/data=!4m8!14m7!1m6!2m5!1sCi9DQUlRQUNvZENodHljRjlvT2xsS2RXSk9jbTVyVW1waGJGaFlTVEkyVEc1b2VYYxAB!2m1!1s0x0:0xd930452ec63a54da!3m1!1s2@1:CAIQACodChtycF9oOllKdWJOcm5rUmphbFhYSTI2TG5oeXc%7C%7C?hl=en", "View Link")</f>
        <v>View Link</v>
      </c>
      <c r="L524" s="3"/>
    </row>
    <row r="525" spans="1:12" ht="20" customHeight="1">
      <c r="A525" s="2" t="s">
        <v>1684</v>
      </c>
      <c r="B525" s="2" t="s">
        <v>1685</v>
      </c>
      <c r="C525" s="2" t="s">
        <v>1686</v>
      </c>
      <c r="D525" s="2" t="s">
        <v>1560</v>
      </c>
      <c r="E525" s="3">
        <f>HYPERLINK("https://www.comunidad.madrid/hospital/infantaleonor/", "Visit Website")</f>
        <v>0</v>
      </c>
      <c r="F525" s="4">
        <v>2.8</v>
      </c>
      <c r="G525" s="5" t="s">
        <v>1687</v>
      </c>
      <c r="H525" s="4">
        <v>1</v>
      </c>
      <c r="I525" s="2" t="s">
        <v>1688</v>
      </c>
      <c r="J525" s="4" t="s">
        <v>1689</v>
      </c>
      <c r="K525" s="3" t="str">
        <f>HYPERLINK("https://www.google.com/maps/reviews/data=!4m8!14m7!1m6!2m5!1sChdDSUhNMG9nS0VJQ0FnSUNINXZiaWtRRRAB!2m1!1s0x0:0xc2076009cb9792c2!3m1!1s2@1:CIHM0ogKEICAgICH5vbikQE%7C%7C?hl=en", "View Link")</f>
        <v>View Link</v>
      </c>
      <c r="L525" s="3">
        <f>HYPERLINK("https://www.google.com/maps/search/?api=1&amp;query=Hospital%20Universitario%20Infanta%20Leonor&amp;query_place_id=ChIJsz5awAglQg0RwpKXywlgB8I", "Open Map")</f>
        <v>0</v>
      </c>
    </row>
    <row r="526" spans="1:12" ht="20" customHeight="1">
      <c r="A526" s="2"/>
      <c r="B526" s="2"/>
      <c r="C526" s="2"/>
      <c r="D526" s="2"/>
      <c r="E526" s="3"/>
      <c r="F526" s="4"/>
      <c r="G526" s="5" t="s">
        <v>1690</v>
      </c>
      <c r="H526" s="4">
        <v>1</v>
      </c>
      <c r="I526" s="2" t="s">
        <v>1691</v>
      </c>
      <c r="J526" s="4" t="s">
        <v>1692</v>
      </c>
      <c r="K526" s="3" t="str">
        <f>HYPERLINK("https://www.google.com/maps/reviews/data=!4m8!14m7!1m6!2m5!1sChZDSUhNMG9nS0VJQ0FnSUNoaHE2ZUVnEAE!2m1!1s0x0:0xc2076009cb9792c2!3m1!1s2@1:CIHM0ogKEICAgIChhq6eEg%7C%7C?hl=en", "View Link")</f>
        <v>View Link</v>
      </c>
      <c r="L526" s="3"/>
    </row>
    <row r="527" spans="1:12" ht="20" customHeight="1">
      <c r="A527" s="2"/>
      <c r="B527" s="2"/>
      <c r="C527" s="2"/>
      <c r="D527" s="2"/>
      <c r="E527" s="3"/>
      <c r="F527" s="4"/>
      <c r="G527" s="5" t="s">
        <v>1693</v>
      </c>
      <c r="H527" s="4">
        <v>1</v>
      </c>
      <c r="I527" s="2" t="s">
        <v>1694</v>
      </c>
      <c r="J527" s="4" t="s">
        <v>1695</v>
      </c>
      <c r="K527" s="3" t="str">
        <f>HYPERLINK("https://www.google.com/maps/reviews/data=!4m8!14m7!1m6!2m5!1sChZDSUhNMG9nS0VJQ0FnSUQtNjRldGNBEAE!2m1!1s0x0:0xc2076009cb9792c2!3m1!1s2@1:CIHM0ogKEICAgID-64etcA%7C%7C?hl=en", "View Link")</f>
        <v>View Link</v>
      </c>
      <c r="L527" s="3"/>
    </row>
    <row r="528" spans="1:12" ht="20" customHeight="1">
      <c r="A528" s="2"/>
      <c r="B528" s="2"/>
      <c r="C528" s="2"/>
      <c r="D528" s="2"/>
      <c r="E528" s="3"/>
      <c r="F528" s="4"/>
      <c r="G528" s="5" t="s">
        <v>1696</v>
      </c>
      <c r="H528" s="4">
        <v>1</v>
      </c>
      <c r="I528" s="2" t="s">
        <v>1697</v>
      </c>
      <c r="J528" s="4" t="s">
        <v>1698</v>
      </c>
      <c r="K528" s="3" t="str">
        <f>HYPERLINK("https://www.google.com/maps/reviews/data=!4m8!14m7!1m6!2m5!1sCi9DQUlRQUNvZENodHljRjlvT2tWVlZVcHViRmt4VEZSNGJVVXlaRTlpYmsxTFVrRRAB!2m1!1s0x0:0xc2076009cb9792c2!3m1!1s2@1:CAIQACodChtycF9oOkVVVUpubFkxTFR4bUUyZE9ibk1LUkE%7C%7C?hl=en", "View Link")</f>
        <v>View Link</v>
      </c>
      <c r="L528" s="3"/>
    </row>
    <row r="529" spans="1:12" ht="20" customHeight="1">
      <c r="A529" s="2"/>
      <c r="B529" s="2"/>
      <c r="C529" s="2"/>
      <c r="D529" s="2"/>
      <c r="E529" s="3"/>
      <c r="F529" s="4"/>
      <c r="G529" s="5" t="s">
        <v>1699</v>
      </c>
      <c r="H529" s="4">
        <v>1</v>
      </c>
      <c r="I529" s="2" t="s">
        <v>1700</v>
      </c>
      <c r="J529" s="4" t="s">
        <v>1701</v>
      </c>
      <c r="K529" s="3" t="str">
        <f>HYPERLINK("https://www.google.com/maps/reviews/data=!4m8!14m7!1m6!2m5!1sCi9DQUlRQUNvZENodHljRjlvT21KbFRrczNYelUzVldoSVZISkRaMnQ2YzE5R2NYYxAB!2m1!1s0x0:0xc2076009cb9792c2!3m1!1s2@1:CAIQACodChtycF9oOmJlTks3XzU3VWhIVHJDZ2t6c19GcXc%7C%7C?hl=en", "View Link")</f>
        <v>View Link</v>
      </c>
      <c r="L529" s="3"/>
    </row>
    <row r="530" spans="1:12" ht="20" customHeight="1">
      <c r="A530" s="2"/>
      <c r="B530" s="2"/>
      <c r="C530" s="2"/>
      <c r="D530" s="2"/>
      <c r="E530" s="3"/>
      <c r="F530" s="4"/>
      <c r="G530" s="5" t="s">
        <v>1702</v>
      </c>
      <c r="H530" s="4">
        <v>1</v>
      </c>
      <c r="I530" s="2" t="s">
        <v>1703</v>
      </c>
      <c r="J530" s="4" t="s">
        <v>1704</v>
      </c>
      <c r="K530" s="3" t="str">
        <f>HYPERLINK("https://www.google.com/maps/reviews/data=!4m8!14m7!1m6!2m5!1sCi9DQUlRQUNvZENodHljRjlvT2xwdlUwVjVaa1JQUkhCZk5rVkdPRTlXWDNwamJuYxAB!2m1!1s0x0:0xc2076009cb9792c2!3m1!1s2@1:CAIQACodChtycF9oOlpvU0V5ZkRPRHBfNkVGOE9WX3pjbnc%7C%7C?hl=en", "View Link")</f>
        <v>View Link</v>
      </c>
      <c r="L530" s="3"/>
    </row>
    <row r="531" spans="1:12" ht="20" customHeight="1">
      <c r="A531" s="2"/>
      <c r="B531" s="2"/>
      <c r="C531" s="2"/>
      <c r="D531" s="2"/>
      <c r="E531" s="3"/>
      <c r="F531" s="4"/>
      <c r="G531" s="5" t="s">
        <v>1705</v>
      </c>
      <c r="H531" s="4">
        <v>1</v>
      </c>
      <c r="I531" s="2" t="s">
        <v>1706</v>
      </c>
      <c r="J531" s="4" t="s">
        <v>1707</v>
      </c>
      <c r="K531" s="3" t="str">
        <f>HYPERLINK("https://www.google.com/maps/reviews/data=!4m8!14m7!1m6!2m5!1sCi9DQUlRQUNvZENodHljRjlvT2toUVdHNHdTbU5GVVdwTk0xOXBZbXBzT0ZSYVYwRRAB!2m1!1s0x0:0xc2076009cb9792c2!3m1!1s2@1:CAIQACodChtycF9oOkhQWG4wSmNFUWpNM19pYmpsOFRaV0E%7C%7C?hl=en", "View Link")</f>
        <v>View Link</v>
      </c>
      <c r="L531" s="3"/>
    </row>
    <row r="532" spans="1:12" ht="20" customHeight="1">
      <c r="A532" s="2"/>
      <c r="B532" s="2"/>
      <c r="C532" s="2"/>
      <c r="D532" s="2"/>
      <c r="E532" s="3"/>
      <c r="F532" s="4"/>
      <c r="G532" s="5" t="s">
        <v>1708</v>
      </c>
      <c r="H532" s="4">
        <v>1</v>
      </c>
      <c r="I532" s="2" t="s">
        <v>1709</v>
      </c>
      <c r="J532" s="4" t="s">
        <v>1710</v>
      </c>
      <c r="K532" s="3" t="str">
        <f>HYPERLINK("https://www.google.com/maps/reviews/data=!4m8!14m7!1m6!2m5!1sCi9DQUlRQUNvZENodHljRjlvT2pGUVFUbEdPRGhYT1dWT01qZDFRMk5zVW1wRk1rRRAB!2m1!1s0x0:0xc2076009cb9792c2!3m1!1s2@1:CAIQACodChtycF9oOjFQQTlGODhXOWVOMjd1Q2NsUmpFMkE%7C%7C?hl=en", "View Link")</f>
        <v>View Link</v>
      </c>
      <c r="L532" s="3"/>
    </row>
    <row r="533" spans="1:12" ht="20" customHeight="1">
      <c r="A533" s="2"/>
      <c r="B533" s="2"/>
      <c r="C533" s="2"/>
      <c r="D533" s="2"/>
      <c r="E533" s="3"/>
      <c r="F533" s="4"/>
      <c r="G533" s="5" t="s">
        <v>1711</v>
      </c>
      <c r="H533" s="4">
        <v>1</v>
      </c>
      <c r="I533" s="2" t="s">
        <v>1712</v>
      </c>
      <c r="J533" s="4" t="s">
        <v>1713</v>
      </c>
      <c r="K533" s="3" t="str">
        <f>HYPERLINK("https://www.google.com/maps/reviews/data=!4m8!14m7!1m6!2m5!1sCi9DQUlRQUNvZENodHljRjlvT2pCb05WWXhMVkpTYzBobVozWXhXalpuTjFvd01tYxAB!2m1!1s0x0:0xc2076009cb9792c2!3m1!1s2@1:CAIQACodChtycF9oOjBoNVYxLVJSc0hmZ3YxWjZnN1owMmc%7C%7C?hl=en", "View Link")</f>
        <v>View Link</v>
      </c>
      <c r="L533" s="3"/>
    </row>
    <row r="534" spans="1:12" ht="20" customHeight="1">
      <c r="A534" s="2"/>
      <c r="B534" s="2"/>
      <c r="C534" s="2"/>
      <c r="D534" s="2"/>
      <c r="E534" s="3"/>
      <c r="F534" s="4"/>
      <c r="G534" s="5" t="s">
        <v>1714</v>
      </c>
      <c r="H534" s="4">
        <v>1</v>
      </c>
      <c r="I534" s="2" t="s">
        <v>1715</v>
      </c>
      <c r="J534" s="4" t="s">
        <v>1716</v>
      </c>
      <c r="K534" s="3" t="str">
        <f>HYPERLINK("https://www.google.com/maps/reviews/data=!4m8!14m7!1m6!2m5!1sCi9DQUlRQUNvZENodHljRjlvT2tsMlYwaFhhR3AxTlRSME9XTkVkVWxEV1d4Uk9XYxAB!2m1!1s0x0:0xc2076009cb9792c2!3m1!1s2@1:CAIQACodChtycF9oOkl2V0hXaGp1NTR0OWNEdUlDWWxROWc%7C%7C?hl=en", "View Link")</f>
        <v>View Link</v>
      </c>
      <c r="L534" s="3"/>
    </row>
    <row r="535" spans="1:12" ht="20" customHeight="1">
      <c r="A535" s="2"/>
      <c r="B535" s="2"/>
      <c r="C535" s="2"/>
      <c r="D535" s="2"/>
      <c r="E535" s="3"/>
      <c r="F535" s="4"/>
      <c r="G535" s="5" t="s">
        <v>1717</v>
      </c>
      <c r="H535" s="4">
        <v>1</v>
      </c>
      <c r="I535" s="2" t="s">
        <v>1718</v>
      </c>
      <c r="J535" s="4" t="s">
        <v>1719</v>
      </c>
      <c r="K535" s="3" t="str">
        <f>HYPERLINK("https://www.google.com/maps/reviews/data=!4m8!14m7!1m6!2m5!1sCi9DQUlRQUNvZENodHljRjlvT201R1NrSXRiMFpwUjJSbloyNVVPVEIxZDJadVJrRRAB!2m1!1s0x0:0xc2076009cb9792c2!3m1!1s2@1:CAIQACodChtycF9oOm5GSkItb0ZpR2RnZ25UOTB1d2ZuRkE%7C%7C?hl=en", "View Link")</f>
        <v>View Link</v>
      </c>
      <c r="L535" s="3"/>
    </row>
    <row r="536" spans="1:12" ht="20" customHeight="1">
      <c r="A536" s="2"/>
      <c r="B536" s="2"/>
      <c r="C536" s="2"/>
      <c r="D536" s="2"/>
      <c r="E536" s="3"/>
      <c r="F536" s="4"/>
      <c r="G536" s="5" t="s">
        <v>1720</v>
      </c>
      <c r="H536" s="4">
        <v>1</v>
      </c>
      <c r="I536" s="2" t="s">
        <v>1721</v>
      </c>
      <c r="J536" s="4" t="s">
        <v>1722</v>
      </c>
      <c r="K536" s="3" t="str">
        <f>HYPERLINK("https://www.google.com/maps/reviews/data=!4m8!14m7!1m6!2m5!1sCi9DQUlRQUNvZENodHljRjlvT2tadlF6azFZeTFsYlY5cVpUaG9WRWx3UzB4Mk4wRRAB!2m1!1s0x0:0xc2076009cb9792c2!3m1!1s2@1:CAIQACodChtycF9oOkZvQzk1Yy1lbV9qZThoVElwS0x2N0E%7C%7C?hl=en", "View Link")</f>
        <v>View Link</v>
      </c>
      <c r="L536" s="3"/>
    </row>
    <row r="537" spans="1:12" ht="20" customHeight="1">
      <c r="A537" s="2"/>
      <c r="B537" s="2"/>
      <c r="C537" s="2"/>
      <c r="D537" s="2"/>
      <c r="E537" s="3"/>
      <c r="F537" s="4"/>
      <c r="G537" s="5" t="s">
        <v>1723</v>
      </c>
      <c r="H537" s="4">
        <v>1</v>
      </c>
      <c r="I537" s="2" t="s">
        <v>1724</v>
      </c>
      <c r="J537" s="4" t="s">
        <v>1725</v>
      </c>
      <c r="K537" s="3" t="str">
        <f>HYPERLINK("https://www.google.com/maps/reviews/data=!4m8!14m7!1m6!2m5!1sCi9DQUlRQUNvZENodHljRjlvT2s5cGVWQTBaamRHTkhJM1gyZEdUMmhxU1c1SU5sRRAB!2m1!1s0x0:0xc2076009cb9792c2!3m1!1s2@1:CAIQACodChtycF9oOk9peVA0ZjdGNHI3X2dGT2hqSW5INlE%7C%7C?hl=en", "View Link")</f>
        <v>View Link</v>
      </c>
      <c r="L537" s="3"/>
    </row>
    <row r="538" spans="1:12" ht="20" customHeight="1">
      <c r="A538" s="2"/>
      <c r="B538" s="2"/>
      <c r="C538" s="2"/>
      <c r="D538" s="2"/>
      <c r="E538" s="3"/>
      <c r="F538" s="4"/>
      <c r="G538" s="5" t="s">
        <v>1726</v>
      </c>
      <c r="H538" s="4">
        <v>1</v>
      </c>
      <c r="I538" s="2" t="s">
        <v>1727</v>
      </c>
      <c r="J538" s="4" t="s">
        <v>1728</v>
      </c>
      <c r="K538" s="3" t="str">
        <f>HYPERLINK("https://www.google.com/maps/reviews/data=!4m8!14m7!1m6!2m5!1sCi9DQUlRQUNvZENodHljRjlvT214Rlh6ZG9XVVpoUTAxc1Vrd3paR1pGVVVKNFVtYxAB!2m1!1s0x0:0xc2076009cb9792c2!3m1!1s2@1:CAIQACodChtycF9oOmxFXzdoWUZhQ01sUkwzZGZFUUJ4Umc%7C%7C?hl=en", "View Link")</f>
        <v>View Link</v>
      </c>
      <c r="L538" s="3"/>
    </row>
    <row r="539" spans="1:12" ht="20" customHeight="1">
      <c r="A539" s="2"/>
      <c r="B539" s="2"/>
      <c r="C539" s="2"/>
      <c r="D539" s="2"/>
      <c r="E539" s="3"/>
      <c r="F539" s="4"/>
      <c r="G539" s="5" t="s">
        <v>1729</v>
      </c>
      <c r="H539" s="4">
        <v>1</v>
      </c>
      <c r="I539" s="2" t="s">
        <v>1730</v>
      </c>
      <c r="J539" s="4" t="s">
        <v>1731</v>
      </c>
      <c r="K539" s="3" t="str">
        <f>HYPERLINK("https://www.google.com/maps/reviews/data=!4m8!14m7!1m6!2m5!1sCi9DQUlRQUNvZENodHljRjlvT2pOSE1HcHdMVWN3VFdWSGRHSnBkRTl3YldVelFuYxAB!2m1!1s0x0:0xc2076009cb9792c2!3m1!1s2@1:CAIQACodChtycF9oOjNHMGpwLUcwTWVHdGJpdE9wbWUzQnc%7C%7C?hl=en", "View Link")</f>
        <v>View Link</v>
      </c>
      <c r="L539" s="3"/>
    </row>
    <row r="540" spans="1:12" ht="20" customHeight="1">
      <c r="A540" s="2"/>
      <c r="B540" s="2"/>
      <c r="C540" s="2"/>
      <c r="D540" s="2"/>
      <c r="E540" s="3"/>
      <c r="F540" s="4"/>
      <c r="G540" s="5" t="s">
        <v>1732</v>
      </c>
      <c r="H540" s="4">
        <v>1</v>
      </c>
      <c r="I540" s="2" t="s">
        <v>1733</v>
      </c>
      <c r="J540" s="4" t="s">
        <v>1734</v>
      </c>
      <c r="K540" s="3" t="str">
        <f>HYPERLINK("https://www.google.com/maps/reviews/data=!4m8!14m7!1m6!2m5!1sCi9DQUlRQUNvZENodHljRjlvT2tka1ZHTm1hRzV6VDBkMWF6VTJWRGxWVGs5MmFGRRAB!2m1!1s0x0:0xc2076009cb9792c2!3m1!1s2@1:CAIQACodChtycF9oOkdkVGNmaG5zT0d1azU2VDlVTk92aFE%7C%7C?hl=en", "View Link")</f>
        <v>View Link</v>
      </c>
      <c r="L540" s="3"/>
    </row>
    <row r="541" spans="1:12" ht="20" customHeight="1">
      <c r="A541" s="2"/>
      <c r="B541" s="2"/>
      <c r="C541" s="2"/>
      <c r="D541" s="2"/>
      <c r="E541" s="3"/>
      <c r="F541" s="4"/>
      <c r="G541" s="5" t="s">
        <v>1735</v>
      </c>
      <c r="H541" s="4">
        <v>1</v>
      </c>
      <c r="I541" s="2" t="s">
        <v>1736</v>
      </c>
      <c r="J541" s="4" t="s">
        <v>1737</v>
      </c>
      <c r="K541" s="3" t="str">
        <f>HYPERLINK("https://www.google.com/maps/reviews/data=!4m8!14m7!1m6!2m5!1sCi9DQUlRQUNvZENodHljRjlvT25SV1NISnJjUzA0ZFVWbFRVcEVlRzlzZFdkc1NuYxAB!2m1!1s0x0:0xc2076009cb9792c2!3m1!1s2@1:CAIQACodChtycF9oOnRWSHJrcS04dUVlTUpEeG9sdWdsSnc%7C%7C?hl=en", "View Link")</f>
        <v>View Link</v>
      </c>
      <c r="L541" s="3"/>
    </row>
    <row r="542" spans="1:12" ht="20" customHeight="1">
      <c r="A542" s="2"/>
      <c r="B542" s="2"/>
      <c r="C542" s="2"/>
      <c r="D542" s="2"/>
      <c r="E542" s="3"/>
      <c r="F542" s="4"/>
      <c r="G542" s="5" t="s">
        <v>1738</v>
      </c>
      <c r="H542" s="4">
        <v>1</v>
      </c>
      <c r="I542" s="2" t="s">
        <v>1739</v>
      </c>
      <c r="J542" s="4" t="s">
        <v>1740</v>
      </c>
      <c r="K542" s="3" t="str">
        <f>HYPERLINK("https://www.google.com/maps/reviews/data=!4m8!14m7!1m6!2m5!1sCi9DQUlRQUNvZENodHljRjlvT2xWalQxUnBjMlZ3U3pNMFdIUlpaMk0wYTBWcmNtYxAB!2m1!1s0x0:0xc2076009cb9792c2!3m1!1s2@1:CAIQACodChtycF9oOlVjT1Rpc2VwSzM0WHRZZ2M0a0Vrcmc%7C%7C?hl=en", "View Link")</f>
        <v>View Link</v>
      </c>
      <c r="L542" s="3"/>
    </row>
    <row r="543" spans="1:12" ht="20" customHeight="1">
      <c r="A543" s="2"/>
      <c r="B543" s="2"/>
      <c r="C543" s="2"/>
      <c r="D543" s="2"/>
      <c r="E543" s="3"/>
      <c r="F543" s="4"/>
      <c r="G543" s="5" t="s">
        <v>1741</v>
      </c>
      <c r="H543" s="4">
        <v>1</v>
      </c>
      <c r="I543" s="2" t="s">
        <v>1742</v>
      </c>
      <c r="J543" s="4" t="s">
        <v>1743</v>
      </c>
      <c r="K543" s="3" t="str">
        <f>HYPERLINK("https://www.google.com/maps/reviews/data=!4m8!14m7!1m6!2m5!1sCi9DQUlRQUNvZENodHljRjlvT2t4SVZHMVViMFo2VXpOVll6SlVObmx5WTFWaFUzYxAB!2m1!1s0x0:0xc2076009cb9792c2!3m1!1s2@1:CAIQACodChtycF9oOkxIVG1Ub0Z6UzNVYzJUNnlyY1VhU3c%7C%7C?hl=en", "View Link")</f>
        <v>View Link</v>
      </c>
      <c r="L543" s="3"/>
    </row>
    <row r="544" spans="1:12" ht="20" customHeight="1">
      <c r="A544" s="2"/>
      <c r="B544" s="2"/>
      <c r="C544" s="2"/>
      <c r="D544" s="2"/>
      <c r="E544" s="3"/>
      <c r="F544" s="4"/>
      <c r="G544" s="5" t="s">
        <v>1744</v>
      </c>
      <c r="H544" s="4">
        <v>1</v>
      </c>
      <c r="I544" s="2" t="s">
        <v>1745</v>
      </c>
      <c r="J544" s="4" t="s">
        <v>1746</v>
      </c>
      <c r="K544" s="3" t="str">
        <f>HYPERLINK("https://www.google.com/maps/reviews/data=!4m8!14m7!1m6!2m5!1sCi9DQUlRQUNvZENodHljRjlvT25WSFlrZEZTbUZYUm1GM1ZuVkRPWGszT0Y5Q1JGRRAB!2m1!1s0x0:0xc2076009cb9792c2!3m1!1s2@1:CAIQACodChtycF9oOnVHYkdFSmFXRmF3VnVDOXk3OF9CRFE%7C%7C?hl=en", "View Link")</f>
        <v>View Link</v>
      </c>
      <c r="L544" s="3"/>
    </row>
    <row r="545" spans="1:12" ht="20" customHeight="1">
      <c r="A545" s="2" t="s">
        <v>1747</v>
      </c>
      <c r="B545" s="2" t="s">
        <v>1748</v>
      </c>
      <c r="C545" s="2" t="s">
        <v>1749</v>
      </c>
      <c r="D545" s="2" t="s">
        <v>89</v>
      </c>
      <c r="E545" s="3">
        <f>HYPERLINK("https://oksygenexperience.barcelona/", "Visit Website")</f>
        <v>0</v>
      </c>
      <c r="F545" s="4">
        <v>3.9</v>
      </c>
      <c r="G545" s="5" t="s">
        <v>1750</v>
      </c>
      <c r="H545" s="4">
        <v>1</v>
      </c>
      <c r="I545" s="2" t="s">
        <v>1751</v>
      </c>
      <c r="J545" s="4" t="s">
        <v>1752</v>
      </c>
      <c r="K545" s="3" t="str">
        <f>HYPERLINK("https://www.google.com/maps/reviews/data=!4m8!14m7!1m6!2m5!1sChdDSUhNMG9nS0VJQ0FnSUM2aWJHdmxRRRAB!2m1!1s0x0:0x813d073a86e81ef3!3m1!1s2@1:CIHM0ogKEICAgIC6ibGvlQE%7C%7C?hl=en", "View Link")</f>
        <v>View Link</v>
      </c>
      <c r="L545" s="3">
        <f>HYPERLINK("https://www.google.com/maps/search/?api=1&amp;query=Centro%20M%C3%A9dico%20AXA%20Les%20Corts&amp;query_place_id=ChIJ_6tW9sqZpBIR8x7ohjoHPYE", "Open Map")</f>
        <v>0</v>
      </c>
    </row>
    <row r="546" spans="1:12" ht="20" customHeight="1">
      <c r="A546" s="2"/>
      <c r="B546" s="2"/>
      <c r="C546" s="2"/>
      <c r="D546" s="2"/>
      <c r="E546" s="3"/>
      <c r="F546" s="4"/>
      <c r="G546" s="5" t="s">
        <v>1753</v>
      </c>
      <c r="H546" s="4">
        <v>1</v>
      </c>
      <c r="I546" s="2" t="s">
        <v>1754</v>
      </c>
      <c r="J546" s="4" t="s">
        <v>1755</v>
      </c>
      <c r="K546" s="3" t="str">
        <f>HYPERLINK("https://www.google.com/maps/reviews/data=!4m8!14m7!1m6!2m5!1sCi9DQUlRQUNvZENodHljRjlvT25wR2RYSmhibEZ0U0hKd1FtNUhjbFJYUjFCSVpYYxAB!2m1!1s0x0:0x813d073a86e81ef3!3m1!1s2@1:CAIQACodChtycF9oOnpGdXJhblFtSHJwQm5HclRXR1BIZXc%7C%7C?hl=en", "View Link")</f>
        <v>View Link</v>
      </c>
      <c r="L546" s="3"/>
    </row>
    <row r="547" spans="1:12" ht="20" customHeight="1">
      <c r="A547" s="2"/>
      <c r="B547" s="2"/>
      <c r="C547" s="2"/>
      <c r="D547" s="2"/>
      <c r="E547" s="3"/>
      <c r="F547" s="4"/>
      <c r="G547" s="5" t="s">
        <v>1756</v>
      </c>
      <c r="H547" s="4">
        <v>1</v>
      </c>
      <c r="I547" s="2" t="s">
        <v>1757</v>
      </c>
      <c r="J547" s="4" t="s">
        <v>1758</v>
      </c>
      <c r="K547" s="3" t="str">
        <f>HYPERLINK("https://www.google.com/maps/reviews/data=!4m8!14m7!1m6!2m5!1sCi9DQUlRQUNvZENodHljRjlvT2pKbU9XTllUR2c1UmpCemFYUk1WMGg1Ym5keVJGRRAB!2m1!1s0x0:0x813d073a86e81ef3!3m1!1s2@1:CAIQACodChtycF9oOjJmOWNYTGg5RjBzaXRMV0h5bndyRFE%7C%7C?hl=en", "View Link")</f>
        <v>View Link</v>
      </c>
      <c r="L547" s="3"/>
    </row>
    <row r="548" spans="1:12" ht="20" customHeight="1">
      <c r="A548" s="2"/>
      <c r="B548" s="2"/>
      <c r="C548" s="2"/>
      <c r="D548" s="2"/>
      <c r="E548" s="3"/>
      <c r="F548" s="4"/>
      <c r="G548" s="5" t="s">
        <v>1759</v>
      </c>
      <c r="H548" s="4">
        <v>1</v>
      </c>
      <c r="I548" s="2" t="s">
        <v>1760</v>
      </c>
      <c r="J548" s="4" t="s">
        <v>1761</v>
      </c>
      <c r="K548" s="3" t="str">
        <f>HYPERLINK("https://www.google.com/maps/reviews/data=!4m8!14m7!1m6!2m5!1sChdDSUhNMG9nS0VJQ0FnSUQxM2F5dzNBRRAB!2m1!1s0x0:0x813d073a86e81ef3!3m1!1s2@1:CIHM0ogKEICAgID13ayw3AE%7C%7C?hl=en", "View Link")</f>
        <v>View Link</v>
      </c>
      <c r="L548" s="3"/>
    </row>
    <row r="549" spans="1:12" ht="20" customHeight="1">
      <c r="A549" s="2"/>
      <c r="B549" s="2"/>
      <c r="C549" s="2"/>
      <c r="D549" s="2"/>
      <c r="E549" s="3"/>
      <c r="F549" s="4"/>
      <c r="G549" s="5" t="s">
        <v>1762</v>
      </c>
      <c r="H549" s="4">
        <v>1</v>
      </c>
      <c r="I549" s="2" t="s">
        <v>1763</v>
      </c>
      <c r="J549" s="4" t="s">
        <v>1764</v>
      </c>
      <c r="K549" s="3" t="str">
        <f>HYPERLINK("https://www.google.com/maps/reviews/data=!4m8!14m7!1m6!2m5!1sChdDSUhNMG9nS0VJQ0FnSUR4X3YyZ2xnRRAB!2m1!1s0x0:0x813d073a86e81ef3!3m1!1s2@1:CIHM0ogKEICAgIDx_v2glgE%7C%7C?hl=en", "View Link")</f>
        <v>View Link</v>
      </c>
      <c r="L549" s="3"/>
    </row>
    <row r="550" spans="1:12" ht="20" customHeight="1">
      <c r="A550" s="2"/>
      <c r="B550" s="2"/>
      <c r="C550" s="2"/>
      <c r="D550" s="2"/>
      <c r="E550" s="3"/>
      <c r="F550" s="4"/>
      <c r="G550" s="5" t="s">
        <v>1765</v>
      </c>
      <c r="H550" s="4">
        <v>1</v>
      </c>
      <c r="I550" s="2" t="s">
        <v>1766</v>
      </c>
      <c r="J550" s="4" t="s">
        <v>1767</v>
      </c>
      <c r="K550" s="3" t="str">
        <f>HYPERLINK("https://www.google.com/maps/reviews/data=!4m8!14m7!1m6!2m5!1sChdDSUhNMG9nS0VJQ0FnSUNtc29UOTFRRRAB!2m1!1s0x0:0x813d073a86e81ef3!3m1!1s2@1:CIHM0ogKEICAgICmsoT91QE%7C%7C?hl=en", "View Link")</f>
        <v>View Link</v>
      </c>
      <c r="L550" s="3"/>
    </row>
    <row r="551" spans="1:12" ht="20" customHeight="1">
      <c r="A551" s="2"/>
      <c r="B551" s="2"/>
      <c r="C551" s="2"/>
      <c r="D551" s="2"/>
      <c r="E551" s="3"/>
      <c r="F551" s="4"/>
      <c r="G551" s="5" t="s">
        <v>1768</v>
      </c>
      <c r="H551" s="4">
        <v>1</v>
      </c>
      <c r="I551" s="2" t="s">
        <v>1769</v>
      </c>
      <c r="J551" s="4" t="s">
        <v>1770</v>
      </c>
      <c r="K551" s="3" t="str">
        <f>HYPERLINK("https://www.google.com/maps/reviews/data=!4m8!14m7!1m6!2m5!1sCi9DQUlRQUNvZENodHljRjlvT2tnelpTMVhhMDh0TW1WeE1tZHdaMlJwYURsUFJWRRAB!2m1!1s0x0:0x813d073a86e81ef3!3m1!1s2@1:CAIQACodChtycF9oOkgzZS1Xa08tMmVxMmdwZ2RpaDlPRVE%7C%7C?hl=en", "View Link")</f>
        <v>View Link</v>
      </c>
      <c r="L551" s="3"/>
    </row>
    <row r="552" spans="1:12" ht="20" customHeight="1">
      <c r="A552" s="2"/>
      <c r="B552" s="2"/>
      <c r="C552" s="2"/>
      <c r="D552" s="2"/>
      <c r="E552" s="3"/>
      <c r="F552" s="4"/>
      <c r="G552" s="5" t="s">
        <v>1771</v>
      </c>
      <c r="H552" s="4">
        <v>1</v>
      </c>
      <c r="I552" s="2" t="s">
        <v>1772</v>
      </c>
      <c r="J552" s="4" t="s">
        <v>1773</v>
      </c>
      <c r="K552" s="3" t="str">
        <f>HYPERLINK("https://www.google.com/maps/reviews/data=!4m8!14m7!1m6!2m5!1sCi9DQUlRQUNvZENodHljRjlvT21KQlZXTXpSSEUyZVhwSmQwbFFXVU15UkRCb00xRRAB!2m1!1s0x0:0x813d073a86e81ef3!3m1!1s2@1:CAIQACodChtycF9oOmJBVWMzRHE2eXpJd0lQWUMyRDBoM1E%7C%7C?hl=en", "View Link")</f>
        <v>View Link</v>
      </c>
      <c r="L552" s="3"/>
    </row>
    <row r="553" spans="1:12" ht="20" customHeight="1">
      <c r="A553" s="2"/>
      <c r="B553" s="2"/>
      <c r="C553" s="2"/>
      <c r="D553" s="2"/>
      <c r="E553" s="3"/>
      <c r="F553" s="4"/>
      <c r="G553" s="5" t="s">
        <v>1774</v>
      </c>
      <c r="H553" s="4">
        <v>1</v>
      </c>
      <c r="I553" s="2"/>
      <c r="J553" s="4" t="s">
        <v>1775</v>
      </c>
      <c r="K553" s="3" t="str">
        <f>HYPERLINK("https://www.google.com/maps/reviews/data=!4m8!14m7!1m6!2m5!1sCi9DQUlRQUNvZENodHljRjlvT2xSelRWbFVPUzFKV0U1SVRscFZTbGgyUjFaME9VRRAB!2m1!1s0x0:0x813d073a86e81ef3!3m1!1s2@1:CAIQACodChtycF9oOlRzTVlUOS1JWE5ITlpVSlh2R1Z0OUE%7C%7C?hl=en", "View Link")</f>
        <v>View Link</v>
      </c>
      <c r="L553" s="3"/>
    </row>
    <row r="554" spans="1:12" ht="20" customHeight="1">
      <c r="A554" s="2"/>
      <c r="B554" s="2"/>
      <c r="C554" s="2"/>
      <c r="D554" s="2"/>
      <c r="E554" s="3"/>
      <c r="F554" s="4"/>
      <c r="G554" s="5" t="s">
        <v>1776</v>
      </c>
      <c r="H554" s="4">
        <v>1</v>
      </c>
      <c r="I554" s="2" t="s">
        <v>1777</v>
      </c>
      <c r="J554" s="4" t="s">
        <v>1778</v>
      </c>
      <c r="K554" s="3" t="str">
        <f>HYPERLINK("https://www.google.com/maps/reviews/data=!4m8!14m7!1m6!2m5!1sCi9DQUlRQUNvZENodHljRjlvT21KNU5rZG5XblpHY0ZCMVIzcHJURlZTUTNaSFIyYxAB!2m1!1s0x0:0x813d073a86e81ef3!3m1!1s2@1:CAIQACodChtycF9oOmJ5NkdnWnZGcFB1R3prTFVSQ3ZHR2c%7C%7C?hl=en", "View Link")</f>
        <v>View Link</v>
      </c>
      <c r="L554" s="3"/>
    </row>
    <row r="555" spans="1:12" ht="20" customHeight="1">
      <c r="A555" s="2"/>
      <c r="B555" s="2"/>
      <c r="C555" s="2"/>
      <c r="D555" s="2"/>
      <c r="E555" s="3"/>
      <c r="F555" s="4"/>
      <c r="G555" s="5" t="s">
        <v>1779</v>
      </c>
      <c r="H555" s="4">
        <v>1</v>
      </c>
      <c r="I555" s="2" t="s">
        <v>1780</v>
      </c>
      <c r="J555" s="4" t="s">
        <v>1781</v>
      </c>
      <c r="K555" s="3" t="str">
        <f>HYPERLINK("https://www.google.com/maps/reviews/data=!4m8!14m7!1m6!2m5!1sCi9DQUlRQUNvZENodHljRjlvT2pSRWVFMU1OMWxSZG5kdVVHMWpSVVV0VWkxS1FWRRAB!2m1!1s0x0:0x813d073a86e81ef3!3m1!1s2@1:CAIQACodChtycF9oOjREeE1MN1lRdnduUG1jRUUtUi1KQVE%7C%7C?hl=en", "View Link")</f>
        <v>View Link</v>
      </c>
      <c r="L555" s="3"/>
    </row>
    <row r="556" spans="1:12" ht="20" customHeight="1">
      <c r="A556" s="2"/>
      <c r="B556" s="2"/>
      <c r="C556" s="2"/>
      <c r="D556" s="2"/>
      <c r="E556" s="3"/>
      <c r="F556" s="4"/>
      <c r="G556" s="5" t="s">
        <v>1782</v>
      </c>
      <c r="H556" s="4">
        <v>1</v>
      </c>
      <c r="I556" s="2"/>
      <c r="J556" s="4" t="s">
        <v>1783</v>
      </c>
      <c r="K556" s="3" t="str">
        <f>HYPERLINK("https://www.google.com/maps/reviews/data=!4m8!14m7!1m6!2m5!1sCi9DQUlRQUNvZENodHljRjlvT25ONFVrOUlSRjlPY25OV1duUk5PV2hKV1U5aVkxRRAB!2m1!1s0x0:0x813d073a86e81ef3!3m1!1s2@1:CAIQACodChtycF9oOnN4Uk9IRF9OcnNWWnRNOWhJWU9iY1E%7C%7C?hl=en", "View Link")</f>
        <v>View Link</v>
      </c>
      <c r="L556" s="3"/>
    </row>
    <row r="557" spans="1:12" ht="20" customHeight="1">
      <c r="A557" s="2"/>
      <c r="B557" s="2"/>
      <c r="C557" s="2"/>
      <c r="D557" s="2"/>
      <c r="E557" s="3"/>
      <c r="F557" s="4"/>
      <c r="G557" s="5" t="s">
        <v>1784</v>
      </c>
      <c r="H557" s="4">
        <v>2</v>
      </c>
      <c r="I557" s="2" t="s">
        <v>1785</v>
      </c>
      <c r="J557" s="4" t="s">
        <v>1786</v>
      </c>
      <c r="K557" s="3" t="str">
        <f>HYPERLINK("https://www.google.com/maps/reviews/data=!4m8!14m7!1m6!2m5!1sChZDSUhNMG9nS0VJQ0FnSUR1dGItblp3EAE!2m1!1s0x0:0x813d073a86e81ef3!3m1!1s2@1:CIHM0ogKEICAgIDutb-nZw%7C%7C?hl=en", "View Link")</f>
        <v>View Link</v>
      </c>
      <c r="L557" s="3"/>
    </row>
    <row r="558" spans="1:12" ht="20" customHeight="1">
      <c r="A558" s="2" t="s">
        <v>1787</v>
      </c>
      <c r="B558" s="2" t="s">
        <v>1788</v>
      </c>
      <c r="C558" s="2" t="s">
        <v>1789</v>
      </c>
      <c r="D558" s="2" t="s">
        <v>89</v>
      </c>
      <c r="E558" s="3">
        <f>HYPERLINK("https://www.hospitaldelmar.cat/", "Visit Website")</f>
        <v>0</v>
      </c>
      <c r="F558" s="4">
        <v>3.3</v>
      </c>
      <c r="G558" s="5" t="s">
        <v>1790</v>
      </c>
      <c r="H558" s="4">
        <v>1</v>
      </c>
      <c r="I558" s="2" t="s">
        <v>1791</v>
      </c>
      <c r="J558" s="4" t="s">
        <v>1792</v>
      </c>
      <c r="K558" s="3" t="str">
        <f>HYPERLINK("https://www.google.com/maps/reviews/data=!4m8!14m7!1m6!2m5!1sChZDSUhNMG9nS0VJQ0FnSUQtNGVuVUhREAE!2m1!1s0x0:0x9973e0e4ba540a65!3m1!1s2@1:CIHM0ogKEICAgID-4enUHQ%7C%7C?hl=en", "View Link")</f>
        <v>View Link</v>
      </c>
      <c r="L558" s="3">
        <f>HYPERLINK("https://www.google.com/maps/search/?api=1&amp;query=Hospital%20del%20Mar&amp;query_place_id=ChIJfZ8dhQijpBIRZQpUuuTgc5k", "Open Map")</f>
        <v>0</v>
      </c>
    </row>
    <row r="559" spans="1:12" ht="20" customHeight="1">
      <c r="A559" s="2"/>
      <c r="B559" s="2"/>
      <c r="C559" s="2"/>
      <c r="D559" s="2"/>
      <c r="E559" s="3"/>
      <c r="F559" s="4"/>
      <c r="G559" s="5" t="s">
        <v>1793</v>
      </c>
      <c r="H559" s="4">
        <v>1</v>
      </c>
      <c r="I559" s="2" t="s">
        <v>1794</v>
      </c>
      <c r="J559" s="4" t="s">
        <v>1795</v>
      </c>
      <c r="K559" s="3" t="str">
        <f>HYPERLINK("https://www.google.com/maps/reviews/data=!4m8!14m7!1m6!2m5!1sCi9DQUlRQUNvZENodHljRjlvT200MVFYaGhNemM0YmtaNGVqQkVkMGwzYkc1Sk1HYxAB!2m1!1s0x0:0x9973e0e4ba540a65!3m1!1s2@1:CAIQACodChtycF9oOm41QXhhMzc4bkZ4ejBEd0l3bG5JMGc%7C%7C?hl=en", "View Link")</f>
        <v>View Link</v>
      </c>
      <c r="L559" s="3"/>
    </row>
    <row r="560" spans="1:12" ht="20" customHeight="1">
      <c r="A560" s="2"/>
      <c r="B560" s="2"/>
      <c r="C560" s="2"/>
      <c r="D560" s="2"/>
      <c r="E560" s="3"/>
      <c r="F560" s="4"/>
      <c r="G560" s="5" t="s">
        <v>1796</v>
      </c>
      <c r="H560" s="4">
        <v>1</v>
      </c>
      <c r="I560" s="2" t="s">
        <v>1797</v>
      </c>
      <c r="J560" s="4" t="s">
        <v>1798</v>
      </c>
      <c r="K560" s="3" t="str">
        <f>HYPERLINK("https://www.google.com/maps/reviews/data=!4m8!14m7!1m6!2m5!1sChdDSUhNMG9nS0VJQ0FnSURCNWQ3VDFnRRAB!2m1!1s0x0:0x9973e0e4ba540a65!3m1!1s2@1:CIHM0ogKEICAgIDB5d7T1gE%7C%7C?hl=en", "View Link")</f>
        <v>View Link</v>
      </c>
      <c r="L560" s="3"/>
    </row>
    <row r="561" spans="1:12" ht="20" customHeight="1">
      <c r="A561" s="2"/>
      <c r="B561" s="2"/>
      <c r="C561" s="2"/>
      <c r="D561" s="2"/>
      <c r="E561" s="3"/>
      <c r="F561" s="4"/>
      <c r="G561" s="5" t="s">
        <v>1799</v>
      </c>
      <c r="H561" s="4">
        <v>1</v>
      </c>
      <c r="I561" s="2" t="s">
        <v>1800</v>
      </c>
      <c r="J561" s="4" t="s">
        <v>1801</v>
      </c>
      <c r="K561" s="3" t="str">
        <f>HYPERLINK("https://www.google.com/maps/reviews/data=!4m8!14m7!1m6!2m5!1sCi9DQUlRQUNvZENodHljRjlvT21ONlV6bDZVMm80VTJvdGVURnVXR2Q2VTFCSVZFRRAB!2m1!1s0x0:0x9973e0e4ba540a65!3m1!1s2@1:CAIQACodChtycF9oOmN6Uzl6U2o4U2oteTFuWGd6U1BIVEE%7C%7C?hl=en", "View Link")</f>
        <v>View Link</v>
      </c>
      <c r="L561" s="3"/>
    </row>
    <row r="562" spans="1:12" ht="20" customHeight="1">
      <c r="A562" s="2"/>
      <c r="B562" s="2"/>
      <c r="C562" s="2"/>
      <c r="D562" s="2"/>
      <c r="E562" s="3"/>
      <c r="F562" s="4"/>
      <c r="G562" s="5" t="s">
        <v>1802</v>
      </c>
      <c r="H562" s="4">
        <v>1</v>
      </c>
      <c r="I562" s="2" t="s">
        <v>1803</v>
      </c>
      <c r="J562" s="4" t="s">
        <v>1804</v>
      </c>
      <c r="K562" s="3" t="str">
        <f>HYPERLINK("https://www.google.com/maps/reviews/data=!4m8!14m7!1m6!2m5!1sChdDSUhNMG9nS0VJQ0FnSUR2d3A3UF9nRRAB!2m1!1s0x0:0x9973e0e4ba540a65!3m1!1s2@1:CIHM0ogKEICAgIDvwp7P_gE%7C%7C?hl=en", "View Link")</f>
        <v>View Link</v>
      </c>
      <c r="L562" s="3"/>
    </row>
    <row r="563" spans="1:12" ht="20" customHeight="1">
      <c r="A563" s="2"/>
      <c r="B563" s="2"/>
      <c r="C563" s="2"/>
      <c r="D563" s="2"/>
      <c r="E563" s="3"/>
      <c r="F563" s="4"/>
      <c r="G563" s="5" t="s">
        <v>1805</v>
      </c>
      <c r="H563" s="4">
        <v>1</v>
      </c>
      <c r="I563" s="2" t="s">
        <v>1806</v>
      </c>
      <c r="J563" s="4" t="s">
        <v>1807</v>
      </c>
      <c r="K563" s="3" t="str">
        <f>HYPERLINK("https://www.google.com/maps/reviews/data=!4m8!14m7!1m6!2m5!1sChZDSUhNMG9nS0VJQ0FnTURRdGNmeFJnEAE!2m1!1s0x0:0x9973e0e4ba540a65!3m1!1s2@1:CIHM0ogKEICAgMDQtcfxRg%7C%7C?hl=en", "View Link")</f>
        <v>View Link</v>
      </c>
      <c r="L563" s="3"/>
    </row>
    <row r="564" spans="1:12" ht="20" customHeight="1">
      <c r="A564" s="2"/>
      <c r="B564" s="2"/>
      <c r="C564" s="2"/>
      <c r="D564" s="2"/>
      <c r="E564" s="3"/>
      <c r="F564" s="4"/>
      <c r="G564" s="5" t="s">
        <v>1808</v>
      </c>
      <c r="H564" s="4">
        <v>1</v>
      </c>
      <c r="I564" s="2" t="s">
        <v>1809</v>
      </c>
      <c r="J564" s="4" t="s">
        <v>1810</v>
      </c>
      <c r="K564" s="3" t="str">
        <f>HYPERLINK("https://www.google.com/maps/reviews/data=!4m8!14m7!1m6!2m5!1sCi9DQUlRQUNvZENodHljRjlvT2tSYVlYRjZXVkpyTURGUVJ6bDJWMmd4VGtkeVRuYxAB!2m1!1s0x0:0x9973e0e4ba540a65!3m1!1s2@1:CAIQACodChtycF9oOkRaYXF6WVJrMDFQRzl2V2gxTkdyTnc%7C%7C?hl=en", "View Link")</f>
        <v>View Link</v>
      </c>
      <c r="L564" s="3"/>
    </row>
    <row r="565" spans="1:12" ht="20" customHeight="1">
      <c r="A565" s="2"/>
      <c r="B565" s="2"/>
      <c r="C565" s="2"/>
      <c r="D565" s="2"/>
      <c r="E565" s="3"/>
      <c r="F565" s="4"/>
      <c r="G565" s="5" t="s">
        <v>1811</v>
      </c>
      <c r="H565" s="4">
        <v>1</v>
      </c>
      <c r="I565" s="2" t="s">
        <v>1812</v>
      </c>
      <c r="J565" s="4" t="s">
        <v>1813</v>
      </c>
      <c r="K565" s="3" t="str">
        <f>HYPERLINK("https://www.google.com/maps/reviews/data=!4m8!14m7!1m6!2m5!1sChZDSUhNMG9nS0VNX3ZfSlgwMDZxSFl3EAE!2m1!1s0x0:0x9973e0e4ba540a65!3m1!1s2@1:CIHM0ogKEM_v_JX006qHYw%7C%7C?hl=en", "View Link")</f>
        <v>View Link</v>
      </c>
      <c r="L565" s="3"/>
    </row>
    <row r="566" spans="1:12" ht="20" customHeight="1">
      <c r="A566" s="2"/>
      <c r="B566" s="2"/>
      <c r="C566" s="2"/>
      <c r="D566" s="2"/>
      <c r="E566" s="3"/>
      <c r="F566" s="4"/>
      <c r="G566" s="5" t="s">
        <v>1814</v>
      </c>
      <c r="H566" s="4">
        <v>1</v>
      </c>
      <c r="I566" s="2" t="s">
        <v>1815</v>
      </c>
      <c r="J566" s="4" t="s">
        <v>1816</v>
      </c>
      <c r="K566" s="3" t="str">
        <f>HYPERLINK("https://www.google.com/maps/reviews/data=!4m8!14m7!1m6!2m5!1sChdDSUhNMG9nS0VJQ0FnSUNYLXRQWDlRRRAB!2m1!1s0x0:0x9973e0e4ba540a65!3m1!1s2@1:CIHM0ogKEICAgICX-tPX9QE%7C%7C?hl=en", "View Link")</f>
        <v>View Link</v>
      </c>
      <c r="L566" s="3"/>
    </row>
    <row r="567" spans="1:12" ht="20" customHeight="1">
      <c r="A567" s="2"/>
      <c r="B567" s="2"/>
      <c r="C567" s="2"/>
      <c r="D567" s="2"/>
      <c r="E567" s="3"/>
      <c r="F567" s="4"/>
      <c r="G567" s="5" t="s">
        <v>1817</v>
      </c>
      <c r="H567" s="4">
        <v>1</v>
      </c>
      <c r="I567" s="2" t="s">
        <v>1818</v>
      </c>
      <c r="J567" s="4" t="s">
        <v>1819</v>
      </c>
      <c r="K567" s="3" t="str">
        <f>HYPERLINK("https://www.google.com/maps/reviews/data=!4m8!14m7!1m6!2m5!1sChdDSUhNMG9nS0VJQ0FnSUQ5LThlWjl3RRAB!2m1!1s0x0:0x9973e0e4ba540a65!3m1!1s2@1:CIHM0ogKEICAgID9-8eZ9wE%7C%7C?hl=en", "View Link")</f>
        <v>View Link</v>
      </c>
      <c r="L567" s="3"/>
    </row>
    <row r="568" spans="1:12" ht="20" customHeight="1">
      <c r="A568" s="2"/>
      <c r="B568" s="2"/>
      <c r="C568" s="2"/>
      <c r="D568" s="2"/>
      <c r="E568" s="3"/>
      <c r="F568" s="4"/>
      <c r="G568" s="5" t="s">
        <v>1820</v>
      </c>
      <c r="H568" s="4">
        <v>1</v>
      </c>
      <c r="I568" s="2" t="s">
        <v>1821</v>
      </c>
      <c r="J568" s="4" t="s">
        <v>1822</v>
      </c>
      <c r="K568" s="3" t="str">
        <f>HYPERLINK("https://www.google.com/maps/reviews/data=!4m8!14m7!1m6!2m5!1sChdDSUhNMG9nS0VJQ0FnSURibkwyTjN3RRAB!2m1!1s0x0:0x9973e0e4ba540a65!3m1!1s2@1:CIHM0ogKEICAgIDbnL2N3wE%7C%7C?hl=en", "View Link")</f>
        <v>View Link</v>
      </c>
      <c r="L568" s="3"/>
    </row>
    <row r="569" spans="1:12" ht="20" customHeight="1">
      <c r="A569" s="2"/>
      <c r="B569" s="2"/>
      <c r="C569" s="2"/>
      <c r="D569" s="2"/>
      <c r="E569" s="3"/>
      <c r="F569" s="4"/>
      <c r="G569" s="5" t="s">
        <v>1823</v>
      </c>
      <c r="H569" s="4">
        <v>1</v>
      </c>
      <c r="I569" s="2" t="s">
        <v>1824</v>
      </c>
      <c r="J569" s="4" t="s">
        <v>1825</v>
      </c>
      <c r="K569" s="3" t="str">
        <f>HYPERLINK("https://www.google.com/maps/reviews/data=!4m8!14m7!1m6!2m5!1sCi9DQUlRQUNvZENodHljRjlvT2pOTmIwYzJVamMwUWtOdk9HMTZZVTVhWHkxSk0yYxAB!2m1!1s0x0:0x9973e0e4ba540a65!3m1!1s2@1:CAIQACodChtycF9oOjNNb0c2Ujc0QkNvOG16YU5aXy1JM2c%7C%7C?hl=en", "View Link")</f>
        <v>View Link</v>
      </c>
      <c r="L569" s="3"/>
    </row>
    <row r="570" spans="1:12" ht="20" customHeight="1">
      <c r="A570" s="2"/>
      <c r="B570" s="2"/>
      <c r="C570" s="2"/>
      <c r="D570" s="2"/>
      <c r="E570" s="3"/>
      <c r="F570" s="4"/>
      <c r="G570" s="5" t="s">
        <v>1826</v>
      </c>
      <c r="H570" s="4">
        <v>1</v>
      </c>
      <c r="I570" s="2" t="s">
        <v>1827</v>
      </c>
      <c r="J570" s="4" t="s">
        <v>1828</v>
      </c>
      <c r="K570" s="3" t="str">
        <f>HYPERLINK("https://www.google.com/maps/reviews/data=!4m8!14m7!1m6!2m5!1sChdDSUhNMG9nS0VJQ0FnSUNwX01HSDRnRRAB!2m1!1s0x0:0x9973e0e4ba540a65!3m1!1s2@1:CIHM0ogKEICAgICp_MGH4gE%7C%7C?hl=en", "View Link")</f>
        <v>View Link</v>
      </c>
      <c r="L570" s="3"/>
    </row>
    <row r="571" spans="1:12" ht="20" customHeight="1">
      <c r="A571" s="2"/>
      <c r="B571" s="2"/>
      <c r="C571" s="2"/>
      <c r="D571" s="2"/>
      <c r="E571" s="3"/>
      <c r="F571" s="4"/>
      <c r="G571" s="5" t="s">
        <v>1829</v>
      </c>
      <c r="H571" s="4">
        <v>1</v>
      </c>
      <c r="I571" s="2" t="s">
        <v>1830</v>
      </c>
      <c r="J571" s="4" t="s">
        <v>1831</v>
      </c>
      <c r="K571" s="3" t="str">
        <f>HYPERLINK("https://www.google.com/maps/reviews/data=!4m8!14m7!1m6!2m5!1sChZDSUhNMG9nS0VJQ0FnSUNuOGRpQmZnEAE!2m1!1s0x0:0x9973e0e4ba540a65!3m1!1s2@1:CIHM0ogKEICAgICn8diBfg%7C%7C?hl=en", "View Link")</f>
        <v>View Link</v>
      </c>
      <c r="L571" s="3"/>
    </row>
    <row r="572" spans="1:12" ht="20" customHeight="1">
      <c r="A572" s="2"/>
      <c r="B572" s="2"/>
      <c r="C572" s="2"/>
      <c r="D572" s="2"/>
      <c r="E572" s="3"/>
      <c r="F572" s="4"/>
      <c r="G572" s="5" t="s">
        <v>1832</v>
      </c>
      <c r="H572" s="4">
        <v>1</v>
      </c>
      <c r="I572" s="2" t="s">
        <v>1833</v>
      </c>
      <c r="J572" s="4" t="s">
        <v>1834</v>
      </c>
      <c r="K572" s="3" t="str">
        <f>HYPERLINK("https://www.google.com/maps/reviews/data=!4m8!14m7!1m6!2m5!1sChdDSUhNMG9nS0VJQ0FnSURCMEtUeHFnRRAB!2m1!1s0x0:0x9973e0e4ba540a65!3m1!1s2@1:CIHM0ogKEICAgIDB0KTxqgE%7C%7C?hl=en", "View Link")</f>
        <v>View Link</v>
      </c>
      <c r="L572" s="3"/>
    </row>
    <row r="573" spans="1:12" ht="20" customHeight="1">
      <c r="A573" s="2"/>
      <c r="B573" s="2"/>
      <c r="C573" s="2"/>
      <c r="D573" s="2"/>
      <c r="E573" s="3"/>
      <c r="F573" s="4"/>
      <c r="G573" s="5" t="s">
        <v>1835</v>
      </c>
      <c r="H573" s="4">
        <v>1</v>
      </c>
      <c r="I573" s="2" t="s">
        <v>1836</v>
      </c>
      <c r="J573" s="4" t="s">
        <v>1837</v>
      </c>
      <c r="K573" s="3" t="str">
        <f>HYPERLINK("https://www.google.com/maps/reviews/data=!4m8!14m7!1m6!2m5!1sChdDSUhNMG9nS0VJQ0FnSURUMWFmZ3FnRRAB!2m1!1s0x0:0x9973e0e4ba540a65!3m1!1s2@1:CIHM0ogKEICAgIDT1afgqgE%7C%7C?hl=en", "View Link")</f>
        <v>View Link</v>
      </c>
      <c r="L573" s="3"/>
    </row>
    <row r="574" spans="1:12" ht="20" customHeight="1">
      <c r="A574" s="2"/>
      <c r="B574" s="2"/>
      <c r="C574" s="2"/>
      <c r="D574" s="2"/>
      <c r="E574" s="3"/>
      <c r="F574" s="4"/>
      <c r="G574" s="5" t="s">
        <v>1838</v>
      </c>
      <c r="H574" s="4">
        <v>1</v>
      </c>
      <c r="I574" s="2" t="s">
        <v>1839</v>
      </c>
      <c r="J574" s="4" t="s">
        <v>1840</v>
      </c>
      <c r="K574" s="3" t="str">
        <f>HYPERLINK("https://www.google.com/maps/reviews/data=!4m8!14m7!1m6!2m5!1sChdDSUhNMG9nS0VJQ0FnSUNyd2VINHBRRRAB!2m1!1s0x0:0x9973e0e4ba540a65!3m1!1s2@1:CIHM0ogKEICAgICrweH4pQE%7C%7C?hl=en", "View Link")</f>
        <v>View Link</v>
      </c>
      <c r="L574" s="3"/>
    </row>
    <row r="575" spans="1:12" ht="20" customHeight="1">
      <c r="A575" s="2"/>
      <c r="B575" s="2"/>
      <c r="C575" s="2"/>
      <c r="D575" s="2"/>
      <c r="E575" s="3"/>
      <c r="F575" s="4"/>
      <c r="G575" s="5" t="s">
        <v>1841</v>
      </c>
      <c r="H575" s="4">
        <v>1</v>
      </c>
      <c r="I575" s="2" t="s">
        <v>1842</v>
      </c>
      <c r="J575" s="4" t="s">
        <v>1843</v>
      </c>
      <c r="K575" s="3" t="str">
        <f>HYPERLINK("https://www.google.com/maps/reviews/data=!4m8!14m7!1m6!2m5!1sChZDSUhNMG9nS0VJQ0FnSUMteTctNU5REAE!2m1!1s0x0:0x9973e0e4ba540a65!3m1!1s2@1:CIHM0ogKEICAgIC-y7-5NQ%7C%7C?hl=en", "View Link")</f>
        <v>View Link</v>
      </c>
      <c r="L575" s="3"/>
    </row>
    <row r="576" spans="1:12" ht="20" customHeight="1">
      <c r="A576" s="2"/>
      <c r="B576" s="2"/>
      <c r="C576" s="2"/>
      <c r="D576" s="2"/>
      <c r="E576" s="3"/>
      <c r="F576" s="4"/>
      <c r="G576" s="5" t="s">
        <v>1844</v>
      </c>
      <c r="H576" s="4">
        <v>1</v>
      </c>
      <c r="I576" s="2" t="s">
        <v>1845</v>
      </c>
      <c r="J576" s="4" t="s">
        <v>1846</v>
      </c>
      <c r="K576" s="3" t="str">
        <f>HYPERLINK("https://www.google.com/maps/reviews/data=!4m8!14m7!1m6!2m5!1sChZDSUhNMG9nS0VJQ0FnSURXOXBMaGZREAE!2m1!1s0x0:0x9973e0e4ba540a65!3m1!1s2@1:CIHM0ogKEICAgIDW9pLhfQ%7C%7C?hl=en", "View Link")</f>
        <v>View Link</v>
      </c>
      <c r="L576" s="3"/>
    </row>
    <row r="577" spans="1:12" ht="20" customHeight="1">
      <c r="A577" s="2"/>
      <c r="B577" s="2"/>
      <c r="C577" s="2"/>
      <c r="D577" s="2"/>
      <c r="E577" s="3"/>
      <c r="F577" s="4"/>
      <c r="G577" s="5" t="s">
        <v>1847</v>
      </c>
      <c r="H577" s="4">
        <v>1</v>
      </c>
      <c r="I577" s="2" t="s">
        <v>1848</v>
      </c>
      <c r="J577" s="4" t="s">
        <v>1849</v>
      </c>
      <c r="K577" s="3" t="str">
        <f>HYPERLINK("https://www.google.com/maps/reviews/data=!4m8!14m7!1m6!2m5!1sChZDSUhNMG9nS0VJQ0FnSUNhNHF1YlRREAE!2m1!1s0x0:0x9973e0e4ba540a65!3m1!1s2@1:CIHM0ogKEICAgICa4qubTQ%7C%7C?hl=en", "View Link")</f>
        <v>View Link</v>
      </c>
      <c r="L577" s="3"/>
    </row>
    <row r="578" spans="1:12" ht="20" customHeight="1">
      <c r="A578" s="2" t="s">
        <v>1850</v>
      </c>
      <c r="B578" s="2" t="s">
        <v>1851</v>
      </c>
      <c r="C578" s="2" t="s">
        <v>1852</v>
      </c>
      <c r="D578" s="2" t="s">
        <v>1853</v>
      </c>
      <c r="E578" s="3">
        <f>HYPERLINK("http://policlinicacomarcaldelvendrell.es/", "Visit Website")</f>
        <v>0</v>
      </c>
      <c r="F578" s="4">
        <v>2.8</v>
      </c>
      <c r="G578" s="5" t="s">
        <v>1854</v>
      </c>
      <c r="H578" s="4">
        <v>1</v>
      </c>
      <c r="I578" s="2" t="s">
        <v>1855</v>
      </c>
      <c r="J578" s="4" t="s">
        <v>1856</v>
      </c>
      <c r="K578" s="3" t="str">
        <f>HYPERLINK("https://www.google.com/maps/reviews/data=!4m8!14m7!1m6!2m5!1sChZDSUhNMG9nS0VJQ0FnSUNKeDdUaUdBEAE!2m1!1s0x0:0x499f0d59a98ef99f!3m1!1s2@1:CIHM0ogKEICAgICJx7TiGA%7C%7C?hl=en", "View Link")</f>
        <v>View Link</v>
      </c>
      <c r="L578" s="3">
        <f>HYPERLINK("https://www.google.com/maps/search/?api=1&amp;query=Policl%C3%ADnica%20Comarcal%20del%20Vendrell&amp;query_place_id=ChIJTVZ_hSGLoxIRn_mOqVkNn0k", "Open Map")</f>
        <v>0</v>
      </c>
    </row>
    <row r="579" spans="1:12" ht="20" customHeight="1">
      <c r="A579" s="2"/>
      <c r="B579" s="2"/>
      <c r="C579" s="2"/>
      <c r="D579" s="2"/>
      <c r="E579" s="3"/>
      <c r="F579" s="4"/>
      <c r="G579" s="5" t="s">
        <v>1857</v>
      </c>
      <c r="H579" s="4">
        <v>1</v>
      </c>
      <c r="I579" s="2" t="s">
        <v>1858</v>
      </c>
      <c r="J579" s="4" t="s">
        <v>1859</v>
      </c>
      <c r="K579" s="3" t="str">
        <f>HYPERLINK("https://www.google.com/maps/reviews/data=!4m8!14m7!1m6!2m5!1sCi9DQUlRQUNvZENodHljRjlvT2psd2N6WkZkbE52U1hNeVoyeHhlbTF1UjNvd1RHYxAB!2m1!1s0x0:0x499f0d59a98ef99f!3m1!1s2@1:CAIQACodChtycF9oOjlwczZFdlNvSXMyZ2xxem1uR3owTGc%7C%7C?hl=en", "View Link")</f>
        <v>View Link</v>
      </c>
      <c r="L579" s="3"/>
    </row>
    <row r="580" spans="1:12" ht="20" customHeight="1">
      <c r="A580" s="2"/>
      <c r="B580" s="2"/>
      <c r="C580" s="2"/>
      <c r="D580" s="2"/>
      <c r="E580" s="3"/>
      <c r="F580" s="4"/>
      <c r="G580" s="5" t="s">
        <v>1860</v>
      </c>
      <c r="H580" s="4">
        <v>1</v>
      </c>
      <c r="I580" s="2" t="s">
        <v>1861</v>
      </c>
      <c r="J580" s="4" t="s">
        <v>1862</v>
      </c>
      <c r="K580" s="3" t="str">
        <f>HYPERLINK("https://www.google.com/maps/reviews/data=!4m8!14m7!1m6!2m5!1sCi9DQUlRQUNvZENodHljRjlvT21sVk1rRkpTbEIxZUVjMlNVVmlUMUpxVEVKTmMzYxAB!2m1!1s0x0:0x499f0d59a98ef99f!3m1!1s2@1:CAIQACodChtycF9oOmlVMkFJSlB1eEc2SUViT1JqTEJNc3c%7C%7C?hl=en", "View Link")</f>
        <v>View Link</v>
      </c>
      <c r="L580" s="3"/>
    </row>
    <row r="581" spans="1:12" ht="20" customHeight="1">
      <c r="A581" s="2"/>
      <c r="B581" s="2"/>
      <c r="C581" s="2"/>
      <c r="D581" s="2"/>
      <c r="E581" s="3"/>
      <c r="F581" s="4"/>
      <c r="G581" s="5" t="s">
        <v>1863</v>
      </c>
      <c r="H581" s="4">
        <v>1</v>
      </c>
      <c r="I581" s="2" t="s">
        <v>1864</v>
      </c>
      <c r="J581" s="4" t="s">
        <v>1865</v>
      </c>
      <c r="K581" s="3" t="str">
        <f>HYPERLINK("https://www.google.com/maps/reviews/data=!4m8!14m7!1m6!2m5!1sCi9DQUlRQUNvZENodHljRjlvT2xkMWQzUk9SRWhIY0c1eFUyOHlURmxKYW1aR1dWRRAB!2m1!1s0x0:0x499f0d59a98ef99f!3m1!1s2@1:CAIQACodChtycF9oOld1d3ROREhHcG5xU28yTFlJamZGWVE%7C%7C?hl=en", "View Link")</f>
        <v>View Link</v>
      </c>
      <c r="L581" s="3"/>
    </row>
    <row r="582" spans="1:12" ht="20" customHeight="1">
      <c r="A582" s="2"/>
      <c r="B582" s="2"/>
      <c r="C582" s="2"/>
      <c r="D582" s="2"/>
      <c r="E582" s="3"/>
      <c r="F582" s="4"/>
      <c r="G582" s="5" t="s">
        <v>1866</v>
      </c>
      <c r="H582" s="4">
        <v>1</v>
      </c>
      <c r="I582" s="2" t="s">
        <v>1867</v>
      </c>
      <c r="J582" s="4" t="s">
        <v>1868</v>
      </c>
      <c r="K582" s="3" t="str">
        <f>HYPERLINK("https://www.google.com/maps/reviews/data=!4m8!14m7!1m6!2m5!1sCi9DQUlRQUNvZENodHljRjlvT2taYVNEZGxXSEJYVkU1cFFWTm1kSGQxVWtGWlEwRRAB!2m1!1s0x0:0x499f0d59a98ef99f!3m1!1s2@1:CAIQACodChtycF9oOkZaSDdlWHBXVE5pQVNmdHd1UkFZQ0E%7C%7C?hl=en", "View Link")</f>
        <v>View Link</v>
      </c>
      <c r="L582" s="3"/>
    </row>
    <row r="583" spans="1:12" ht="20" customHeight="1">
      <c r="A583" s="2"/>
      <c r="B583" s="2"/>
      <c r="C583" s="2"/>
      <c r="D583" s="2"/>
      <c r="E583" s="3"/>
      <c r="F583" s="4"/>
      <c r="G583" s="5" t="s">
        <v>1869</v>
      </c>
      <c r="H583" s="4">
        <v>1</v>
      </c>
      <c r="I583" s="2" t="s">
        <v>1870</v>
      </c>
      <c r="J583" s="4" t="s">
        <v>1871</v>
      </c>
      <c r="K583" s="3" t="str">
        <f>HYPERLINK("https://www.google.com/maps/reviews/data=!4m8!14m7!1m6!2m5!1sCi9DQUlRQUNvZENodHljRjlvT2pVdExXWkhSM0JuVEdoVmFHVkdNVFJFTmpaTWRGRRAB!2m1!1s0x0:0x499f0d59a98ef99f!3m1!1s2@1:CAIQACodChtycF9oOjUtLWZHR3BnTGhVaGVGMTRENjZMdFE%7C%7C?hl=en", "View Link")</f>
        <v>View Link</v>
      </c>
      <c r="L583" s="3"/>
    </row>
    <row r="584" spans="1:12" ht="20" customHeight="1">
      <c r="A584" s="2"/>
      <c r="B584" s="2"/>
      <c r="C584" s="2"/>
      <c r="D584" s="2"/>
      <c r="E584" s="3"/>
      <c r="F584" s="4"/>
      <c r="G584" s="5" t="s">
        <v>1872</v>
      </c>
      <c r="H584" s="4">
        <v>1</v>
      </c>
      <c r="I584" s="2" t="s">
        <v>1873</v>
      </c>
      <c r="J584" s="4" t="s">
        <v>1874</v>
      </c>
      <c r="K584" s="3" t="str">
        <f>HYPERLINK("https://www.google.com/maps/reviews/data=!4m8!14m7!1m6!2m5!1sCi9DQUlRQUNvZENodHljRjlvT25wTldGTTJiamd4VUdFMWRIaGFNMU5QYTJZeVQyYxAB!2m1!1s0x0:0x499f0d59a98ef99f!3m1!1s2@1:CAIQACodChtycF9oOnpNWFM2bjgxUGE1dHhaM1NPa2YyT2c%7C%7C?hl=en", "View Link")</f>
        <v>View Link</v>
      </c>
      <c r="L584" s="3"/>
    </row>
    <row r="585" spans="1:12" ht="20" customHeight="1">
      <c r="A585" s="2"/>
      <c r="B585" s="2"/>
      <c r="C585" s="2"/>
      <c r="D585" s="2"/>
      <c r="E585" s="3"/>
      <c r="F585" s="4"/>
      <c r="G585" s="5" t="s">
        <v>1875</v>
      </c>
      <c r="H585" s="4">
        <v>1</v>
      </c>
      <c r="I585" s="2" t="s">
        <v>1876</v>
      </c>
      <c r="J585" s="4" t="s">
        <v>1877</v>
      </c>
      <c r="K585" s="3" t="str">
        <f>HYPERLINK("https://www.google.com/maps/reviews/data=!4m8!14m7!1m6!2m5!1sCi9DQUlRQUNvZENodHljRjlvT214S05GbG1SVTAwY0dkUFVGVmhhakUxWDJWb2JVRRAB!2m1!1s0x0:0x499f0d59a98ef99f!3m1!1s2@1:CAIQACodChtycF9oOmxKNFlmRU00cGdPUFVhajE1X2VobUE%7C%7C?hl=en", "View Link")</f>
        <v>View Link</v>
      </c>
      <c r="L585" s="3"/>
    </row>
    <row r="586" spans="1:12" ht="20" customHeight="1">
      <c r="A586" s="2"/>
      <c r="B586" s="2"/>
      <c r="C586" s="2"/>
      <c r="D586" s="2"/>
      <c r="E586" s="3"/>
      <c r="F586" s="4"/>
      <c r="G586" s="5" t="s">
        <v>1878</v>
      </c>
      <c r="H586" s="4">
        <v>1</v>
      </c>
      <c r="I586" s="2" t="s">
        <v>1879</v>
      </c>
      <c r="J586" s="4" t="s">
        <v>1880</v>
      </c>
      <c r="K586" s="3" t="str">
        <f>HYPERLINK("https://www.google.com/maps/reviews/data=!4m8!14m7!1m6!2m5!1sCi9DQUlRQUNvZENodHljRjlvT25wd1dtaHFkMlIyTmpBMFRHZHNNREJaV0RJd2QwRRAB!2m1!1s0x0:0x499f0d59a98ef99f!3m1!1s2@1:CAIQACodChtycF9oOnpwWmhqd2R2NjA0TGdsMDBZWDIwd0E%7C%7C?hl=en", "View Link")</f>
        <v>View Link</v>
      </c>
      <c r="L586" s="3"/>
    </row>
    <row r="587" spans="1:12" ht="20" customHeight="1">
      <c r="A587" s="2"/>
      <c r="B587" s="2"/>
      <c r="C587" s="2"/>
      <c r="D587" s="2"/>
      <c r="E587" s="3"/>
      <c r="F587" s="4"/>
      <c r="G587" s="5" t="s">
        <v>1881</v>
      </c>
      <c r="H587" s="4">
        <v>1</v>
      </c>
      <c r="I587" s="2" t="s">
        <v>1882</v>
      </c>
      <c r="J587" s="4" t="s">
        <v>1883</v>
      </c>
      <c r="K587" s="3" t="str">
        <f>HYPERLINK("https://www.google.com/maps/reviews/data=!4m8!14m7!1m6!2m5!1sCi9DQUlRQUNvZENodHljRjlvT2xWUE9IRnFabk51V1dKWlVsWmlUbWwxTFRGQ2FuYxAB!2m1!1s0x0:0x499f0d59a98ef99f!3m1!1s2@1:CAIQACodChtycF9oOlVPOHFqZnNuWWJZUlZiTml1LTFCanc%7C%7C?hl=en", "View Link")</f>
        <v>View Link</v>
      </c>
      <c r="L587" s="3"/>
    </row>
    <row r="588" spans="1:12" ht="20" customHeight="1">
      <c r="A588" s="2"/>
      <c r="B588" s="2"/>
      <c r="C588" s="2"/>
      <c r="D588" s="2"/>
      <c r="E588" s="3"/>
      <c r="F588" s="4"/>
      <c r="G588" s="5" t="s">
        <v>1884</v>
      </c>
      <c r="H588" s="4">
        <v>1</v>
      </c>
      <c r="I588" s="2" t="s">
        <v>1885</v>
      </c>
      <c r="J588" s="4" t="s">
        <v>1886</v>
      </c>
      <c r="K588" s="3" t="str">
        <f>HYPERLINK("https://www.google.com/maps/reviews/data=!4m8!14m7!1m6!2m5!1sCi9DQUlRQUNvZENodHljRjlvT2xFNVNXVmlVSHBEU0U1amRWWmpOVWR3U1VRMVpXYxAB!2m1!1s0x0:0x499f0d59a98ef99f!3m1!1s2@1:CAIQACodChtycF9oOlE5SWViUHpDSE5jdVZjNUdwSUQ1ZWc%7C%7C?hl=en", "View Link")</f>
        <v>View Link</v>
      </c>
      <c r="L588" s="3"/>
    </row>
    <row r="589" spans="1:12" ht="20" customHeight="1">
      <c r="A589" s="2"/>
      <c r="B589" s="2"/>
      <c r="C589" s="2"/>
      <c r="D589" s="2"/>
      <c r="E589" s="3"/>
      <c r="F589" s="4"/>
      <c r="G589" s="5" t="s">
        <v>1887</v>
      </c>
      <c r="H589" s="4">
        <v>1</v>
      </c>
      <c r="I589" s="2" t="s">
        <v>1888</v>
      </c>
      <c r="J589" s="4" t="s">
        <v>1889</v>
      </c>
      <c r="K589" s="3" t="str">
        <f>HYPERLINK("https://www.google.com/maps/reviews/data=!4m8!14m7!1m6!2m5!1sCi9DQUlRQUNvZENodHljRjlvT21oelJYY3hTMFpUYW5GcFgzTlZXSG8yYkZKVlkzYxAB!2m1!1s0x0:0x499f0d59a98ef99f!3m1!1s2@1:CAIQACodChtycF9oOmhzRXcxS0ZTanFpX3NVWHo2bFJVY3c%7C%7C?hl=en", "View Link")</f>
        <v>View Link</v>
      </c>
      <c r="L589" s="3"/>
    </row>
    <row r="590" spans="1:12" ht="20" customHeight="1">
      <c r="A590" s="2"/>
      <c r="B590" s="2"/>
      <c r="C590" s="2"/>
      <c r="D590" s="2"/>
      <c r="E590" s="3"/>
      <c r="F590" s="4"/>
      <c r="G590" s="5" t="s">
        <v>1890</v>
      </c>
      <c r="H590" s="4">
        <v>1</v>
      </c>
      <c r="I590" s="2" t="s">
        <v>1891</v>
      </c>
      <c r="J590" s="4" t="s">
        <v>1892</v>
      </c>
      <c r="K590" s="3" t="str">
        <f>HYPERLINK("https://www.google.com/maps/reviews/data=!4m8!14m7!1m6!2m5!1sCi9DQUlRQUNvZENodHljRjlvT2taeVpuZHZaRk5oVEY5MVFUSkpURFIzUW1wcmVYYxAB!2m1!1s0x0:0x499f0d59a98ef99f!3m1!1s2@1:CAIQACodChtycF9oOkZyZndvZFNhTF91QTJJTDR3QmpreXc%7C%7C?hl=en", "View Link")</f>
        <v>View Link</v>
      </c>
      <c r="L590" s="3"/>
    </row>
    <row r="591" spans="1:12" ht="20" customHeight="1">
      <c r="A591" s="2"/>
      <c r="B591" s="2"/>
      <c r="C591" s="2"/>
      <c r="D591" s="2"/>
      <c r="E591" s="3"/>
      <c r="F591" s="4"/>
      <c r="G591" s="5" t="s">
        <v>1893</v>
      </c>
      <c r="H591" s="4">
        <v>1</v>
      </c>
      <c r="I591" s="2" t="s">
        <v>1894</v>
      </c>
      <c r="J591" s="4" t="s">
        <v>1895</v>
      </c>
      <c r="K591" s="3" t="str">
        <f>HYPERLINK("https://www.google.com/maps/reviews/data=!4m8!14m7!1m6!2m5!1sChZDSUhNMG9nS0VMV05ndmkxejY3WkVREAE!2m1!1s0x0:0x499f0d59a98ef99f!3m1!1s2@1:CIHM0ogKELWNgvi1z67ZEQ%7C%7C?hl=en", "View Link")</f>
        <v>View Link</v>
      </c>
      <c r="L591" s="3"/>
    </row>
    <row r="592" spans="1:12" ht="20" customHeight="1">
      <c r="A592" s="2"/>
      <c r="B592" s="2"/>
      <c r="C592" s="2"/>
      <c r="D592" s="2"/>
      <c r="E592" s="3"/>
      <c r="F592" s="4"/>
      <c r="G592" s="5" t="s">
        <v>1896</v>
      </c>
      <c r="H592" s="4">
        <v>1</v>
      </c>
      <c r="I592" s="2" t="s">
        <v>1897</v>
      </c>
      <c r="J592" s="4" t="s">
        <v>1898</v>
      </c>
      <c r="K592" s="3" t="str">
        <f>HYPERLINK("https://www.google.com/maps/reviews/data=!4m8!14m7!1m6!2m5!1sCi9DQUlRQUNvZENodHljRjlvT2xBMFdGWlZPR1Z5WlVOVmRFRmxUMUV5YW1vM1dYYxAB!2m1!1s0x0:0x499f0d59a98ef99f!3m1!1s2@1:CAIQACodChtycF9oOlA0WFZVOGVyZUNVdEFlT1Eyamo3WXc%7C%7C?hl=en", "View Link")</f>
        <v>View Link</v>
      </c>
      <c r="L592" s="3"/>
    </row>
    <row r="593" spans="1:12" ht="20" customHeight="1">
      <c r="A593" s="2"/>
      <c r="B593" s="2"/>
      <c r="C593" s="2"/>
      <c r="D593" s="2"/>
      <c r="E593" s="3"/>
      <c r="F593" s="4"/>
      <c r="G593" s="5" t="s">
        <v>1899</v>
      </c>
      <c r="H593" s="4">
        <v>1</v>
      </c>
      <c r="I593" s="2" t="s">
        <v>1900</v>
      </c>
      <c r="J593" s="4" t="s">
        <v>1901</v>
      </c>
      <c r="K593" s="3" t="str">
        <f>HYPERLINK("https://www.google.com/maps/reviews/data=!4m8!14m7!1m6!2m5!1sCi9DQUlRQUNvZENodHljRjlvT2w5Vk1GWTFlVVF4T0VsSmMxVnZRbWwyUjI0NVRuYxAB!2m1!1s0x0:0x499f0d59a98ef99f!3m1!1s2@1:CAIQACodChtycF9oOl9VMFY1eUQxOElJc1VvQml2R245Tnc%7C%7C?hl=en", "View Link")</f>
        <v>View Link</v>
      </c>
      <c r="L593" s="3"/>
    </row>
    <row r="594" spans="1:12" ht="20" customHeight="1">
      <c r="A594" s="2"/>
      <c r="B594" s="2"/>
      <c r="C594" s="2"/>
      <c r="D594" s="2"/>
      <c r="E594" s="3"/>
      <c r="F594" s="4"/>
      <c r="G594" s="5" t="s">
        <v>1902</v>
      </c>
      <c r="H594" s="4">
        <v>1</v>
      </c>
      <c r="I594" s="2" t="s">
        <v>1903</v>
      </c>
      <c r="J594" s="4" t="s">
        <v>1904</v>
      </c>
      <c r="K594" s="3" t="str">
        <f>HYPERLINK("https://www.google.com/maps/reviews/data=!4m8!14m7!1m6!2m5!1sCi9DQUlRQUNvZENodHljRjlvT2xaYU1sUm1VMG90VXkxdGRtaG9iVFZrU2pGUVZVRRAB!2m1!1s0x0:0x499f0d59a98ef99f!3m1!1s2@1:CAIQACodChtycF9oOlZaMlRmU0otUy1tdmhobTVkSjFQVUE%7C%7C?hl=en", "View Link")</f>
        <v>View Link</v>
      </c>
      <c r="L594" s="3"/>
    </row>
    <row r="595" spans="1:12" ht="20" customHeight="1">
      <c r="A595" s="2"/>
      <c r="B595" s="2"/>
      <c r="C595" s="2"/>
      <c r="D595" s="2"/>
      <c r="E595" s="3"/>
      <c r="F595" s="4"/>
      <c r="G595" s="5" t="s">
        <v>1905</v>
      </c>
      <c r="H595" s="4">
        <v>1</v>
      </c>
      <c r="I595" s="2" t="s">
        <v>1906</v>
      </c>
      <c r="J595" s="4" t="s">
        <v>1907</v>
      </c>
      <c r="K595" s="3" t="str">
        <f>HYPERLINK("https://www.google.com/maps/reviews/data=!4m8!14m7!1m6!2m5!1sCi9DQUlRQUNvZENodHljRjlvT2xkS1MyRlRMV3BIUlc5SlZWbzBOazVuWlVkdWIxRRAB!2m1!1s0x0:0x499f0d59a98ef99f!3m1!1s2@1:CAIQACodChtycF9oOldKS2FTLWpHRW9JVVo0Nk5nZUdub1E%7C%7C?hl=en", "View Link")</f>
        <v>View Link</v>
      </c>
      <c r="L595" s="3"/>
    </row>
    <row r="596" spans="1:12" ht="20" customHeight="1">
      <c r="A596" s="2"/>
      <c r="B596" s="2"/>
      <c r="C596" s="2"/>
      <c r="D596" s="2"/>
      <c r="E596" s="3"/>
      <c r="F596" s="4"/>
      <c r="G596" s="5" t="s">
        <v>1908</v>
      </c>
      <c r="H596" s="4">
        <v>1</v>
      </c>
      <c r="I596" s="2" t="s">
        <v>1909</v>
      </c>
      <c r="J596" s="4" t="s">
        <v>1910</v>
      </c>
      <c r="K596" s="3" t="str">
        <f>HYPERLINK("https://www.google.com/maps/reviews/data=!4m8!14m7!1m6!2m5!1sCi9DQUlRQUNvZENodHljRjlvT21oUFRYSkNkWHBvV0UxRFFVZG5URzFOY2xWc1JWRRAB!2m1!1s0x0:0x499f0d59a98ef99f!3m1!1s2@1:CAIQACodChtycF9oOmhPTXJCdXpoWE1DQUdnTG1NclVsRVE%7C%7C?hl=en", "View Link")</f>
        <v>View Link</v>
      </c>
      <c r="L596" s="3"/>
    </row>
    <row r="597" spans="1:12" ht="20" customHeight="1">
      <c r="A597" s="2"/>
      <c r="B597" s="2"/>
      <c r="C597" s="2"/>
      <c r="D597" s="2"/>
      <c r="E597" s="3"/>
      <c r="F597" s="4"/>
      <c r="G597" s="5" t="s">
        <v>1911</v>
      </c>
      <c r="H597" s="4">
        <v>1</v>
      </c>
      <c r="I597" s="2" t="s">
        <v>1912</v>
      </c>
      <c r="J597" s="4" t="s">
        <v>1913</v>
      </c>
      <c r="K597" s="3" t="str">
        <f>HYPERLINK("https://www.google.com/maps/reviews/data=!4m8!14m7!1m6!2m5!1sChdDSUhNMG9nS0VKR1hvZUQwaXBpTGpRRRAB!2m1!1s0x0:0x499f0d59a98ef99f!3m1!1s2@1:CIHM0ogKEJGXoeD0ipiLjQE%7C%7C?hl=en", "View Link")</f>
        <v>View Link</v>
      </c>
      <c r="L597" s="3"/>
    </row>
    <row r="598" spans="1:12" ht="20" customHeight="1">
      <c r="A598" s="2" t="s">
        <v>1914</v>
      </c>
      <c r="B598" s="2" t="s">
        <v>1915</v>
      </c>
      <c r="C598" s="2" t="s">
        <v>1916</v>
      </c>
      <c r="D598" s="2" t="s">
        <v>1917</v>
      </c>
      <c r="E598" s="3">
        <f>HYPERLINK("https://www.avantmedic.com/", "Visit Website")</f>
        <v>0</v>
      </c>
      <c r="F598" s="4">
        <v>3.6</v>
      </c>
      <c r="G598" s="5" t="s">
        <v>1918</v>
      </c>
      <c r="H598" s="4">
        <v>1</v>
      </c>
      <c r="I598" s="2" t="s">
        <v>1919</v>
      </c>
      <c r="J598" s="4" t="s">
        <v>1920</v>
      </c>
      <c r="K598" s="3" t="str">
        <f>HYPERLINK("https://www.google.com/maps/reviews/data=!4m8!14m7!1m6!2m5!1sCi9DQUlRQUNvZENodHljRjlvT2s1TU5IYzFSVE5MYUhCSWFHZGpWVVV3Y2t4V05VRRAB!2m1!1s0x0:0x63269fd3423d819c!3m1!1s2@1:CAIQACodChtycF9oOk5MNHc1RTNLaHBIaGdjVUUwckxWNUE%7C%7C?hl=en", "View Link")</f>
        <v>View Link</v>
      </c>
      <c r="L598" s="3">
        <f>HYPERLINK("https://www.google.com/maps/search/?api=1&amp;query=Avantm%C3%A8dic&amp;query_place_id=ChIJb3q4jz_gphIRnIE9QtOfJmM", "Open Map")</f>
        <v>0</v>
      </c>
    </row>
    <row r="599" spans="1:12" ht="20" customHeight="1">
      <c r="A599" s="2"/>
      <c r="B599" s="2"/>
      <c r="C599" s="2"/>
      <c r="D599" s="2"/>
      <c r="E599" s="3"/>
      <c r="F599" s="4"/>
      <c r="G599" s="5" t="s">
        <v>1921</v>
      </c>
      <c r="H599" s="4">
        <v>1</v>
      </c>
      <c r="I599" s="2" t="s">
        <v>1922</v>
      </c>
      <c r="J599" s="4" t="s">
        <v>1923</v>
      </c>
      <c r="K599" s="3" t="str">
        <f>HYPERLINK("https://www.google.com/maps/reviews/data=!4m8!14m7!1m6!2m5!1sCi9DQUlRQUNvZENodHljRjlvT25wSVZYUXpMV2xoVVZkbU9GWlhZbEpxUXpOb1pFRRAB!2m1!1s0x0:0x63269fd3423d819c!3m1!1s2@1:CAIQACodChtycF9oOnpIVXQzLWlhUVdmOFZXYlJqQzNoZEE%7C%7C?hl=en", "View Link")</f>
        <v>View Link</v>
      </c>
      <c r="L599" s="3"/>
    </row>
    <row r="600" spans="1:12" ht="20" customHeight="1">
      <c r="A600" s="2"/>
      <c r="B600" s="2"/>
      <c r="C600" s="2"/>
      <c r="D600" s="2"/>
      <c r="E600" s="3"/>
      <c r="F600" s="4"/>
      <c r="G600" s="5" t="s">
        <v>1924</v>
      </c>
      <c r="H600" s="4">
        <v>1</v>
      </c>
      <c r="I600" s="2" t="s">
        <v>1925</v>
      </c>
      <c r="J600" s="4" t="s">
        <v>1926</v>
      </c>
      <c r="K600" s="3" t="str">
        <f>HYPERLINK("https://www.google.com/maps/reviews/data=!4m8!14m7!1m6!2m5!1sCi9DQUlRQUNvZENodHljRjlvT2pKTWRWbG1OblIwVkRaWlUzRlRkRE5HYlhWUFRsRRAB!2m1!1s0x0:0x63269fd3423d819c!3m1!1s2@1:CAIQACodChtycF9oOjJMdVlmNnR0VDZZU3FTdDNGbXVPTlE%7C%7C?hl=en", "View Link")</f>
        <v>View Link</v>
      </c>
      <c r="L600" s="3"/>
    </row>
    <row r="601" spans="1:12" ht="20" customHeight="1">
      <c r="A601" s="2"/>
      <c r="B601" s="2"/>
      <c r="C601" s="2"/>
      <c r="D601" s="2"/>
      <c r="E601" s="3"/>
      <c r="F601" s="4"/>
      <c r="G601" s="5" t="s">
        <v>1927</v>
      </c>
      <c r="H601" s="4">
        <v>1</v>
      </c>
      <c r="I601" s="2" t="s">
        <v>1928</v>
      </c>
      <c r="J601" s="4" t="s">
        <v>1929</v>
      </c>
      <c r="K601" s="3" t="str">
        <f>HYPERLINK("https://www.google.com/maps/reviews/data=!4m8!14m7!1m6!2m5!1sCi9DQUlRQUNvZENodHljRjlvT2tKV1JuQkRWM1pTZVZJNVVEZFBSVTVXUWpCSVpGRRAB!2m1!1s0x0:0x63269fd3423d819c!3m1!1s2@1:CAIQACodChtycF9oOkJWRnBDV3ZSeVI5UDdPRU5WQjBIZFE%7C%7C?hl=en", "View Link")</f>
        <v>View Link</v>
      </c>
      <c r="L601" s="3"/>
    </row>
    <row r="602" spans="1:12" ht="20" customHeight="1">
      <c r="A602" s="2"/>
      <c r="B602" s="2"/>
      <c r="C602" s="2"/>
      <c r="D602" s="2"/>
      <c r="E602" s="3"/>
      <c r="F602" s="4"/>
      <c r="G602" s="5" t="s">
        <v>1930</v>
      </c>
      <c r="H602" s="4">
        <v>1</v>
      </c>
      <c r="I602" s="2" t="s">
        <v>1931</v>
      </c>
      <c r="J602" s="4" t="s">
        <v>1932</v>
      </c>
      <c r="K602" s="3" t="str">
        <f>HYPERLINK("https://www.google.com/maps/reviews/data=!4m8!14m7!1m6!2m5!1sCi9DQUlRQUNvZENodHljRjlvT2pSWlFWWnBjVkJuUTFGdVFUaDBhREY0WldvNE5tYxAB!2m1!1s0x0:0x63269fd3423d819c!3m1!1s2@1:CAIQACodChtycF9oOjRZQVZpcVBnQ1FuQTh0aDF4ZWo4Nmc%7C%7C?hl=en", "View Link")</f>
        <v>View Link</v>
      </c>
      <c r="L602" s="3"/>
    </row>
    <row r="603" spans="1:12" ht="20" customHeight="1">
      <c r="A603" s="2"/>
      <c r="B603" s="2"/>
      <c r="C603" s="2"/>
      <c r="D603" s="2"/>
      <c r="E603" s="3"/>
      <c r="F603" s="4"/>
      <c r="G603" s="5" t="s">
        <v>1933</v>
      </c>
      <c r="H603" s="4">
        <v>1</v>
      </c>
      <c r="I603" s="2" t="s">
        <v>1934</v>
      </c>
      <c r="J603" s="4" t="s">
        <v>1935</v>
      </c>
      <c r="K603" s="3" t="str">
        <f>HYPERLINK("https://www.google.com/maps/reviews/data=!4m8!14m7!1m6!2m5!1sCi9DQUlRQUNvZENodHljRjlvT25VNFVXOVlZMjVQVlhCdmRrSmFXWFZzUVhsS05FRRAB!2m1!1s0x0:0x63269fd3423d819c!3m1!1s2@1:CAIQACodChtycF9oOnU4UW9YY25PVXBvdkJaWXVsQXlKNEE%7C%7C?hl=en", "View Link")</f>
        <v>View Link</v>
      </c>
      <c r="L603" s="3"/>
    </row>
    <row r="604" spans="1:12" ht="20" customHeight="1">
      <c r="A604" s="2"/>
      <c r="B604" s="2"/>
      <c r="C604" s="2"/>
      <c r="D604" s="2"/>
      <c r="E604" s="3"/>
      <c r="F604" s="4"/>
      <c r="G604" s="5" t="s">
        <v>1936</v>
      </c>
      <c r="H604" s="4">
        <v>1</v>
      </c>
      <c r="I604" s="2" t="s">
        <v>1937</v>
      </c>
      <c r="J604" s="4" t="s">
        <v>1938</v>
      </c>
      <c r="K604" s="3" t="str">
        <f>HYPERLINK("https://www.google.com/maps/reviews/data=!4m8!14m7!1m6!2m5!1sCi9DQUlRQUNvZENodHljRjlvT25Sa1VESk9ObWMyT0RSUGIzSjZaVVIwWlVsWVdVRRAB!2m1!1s0x0:0x63269fd3423d819c!3m1!1s2@1:CAIQACodChtycF9oOnRkUDJONmc2ODRPb3J6ZUR0ZUlYWUE%7C%7C?hl=en", "View Link")</f>
        <v>View Link</v>
      </c>
      <c r="L604" s="3"/>
    </row>
    <row r="605" spans="1:12" ht="20" customHeight="1">
      <c r="A605" s="2"/>
      <c r="B605" s="2"/>
      <c r="C605" s="2"/>
      <c r="D605" s="2"/>
      <c r="E605" s="3"/>
      <c r="F605" s="4"/>
      <c r="G605" s="5" t="s">
        <v>1939</v>
      </c>
      <c r="H605" s="4">
        <v>1</v>
      </c>
      <c r="I605" s="2" t="s">
        <v>1940</v>
      </c>
      <c r="J605" s="4" t="s">
        <v>1941</v>
      </c>
      <c r="K605" s="3" t="str">
        <f>HYPERLINK("https://www.google.com/maps/reviews/data=!4m8!14m7!1m6!2m5!1sCi9DQUlRQUNvZENodHljRjlvT2pSeU1sUm9XVVpsV213emVYQlhjbUZ6ZGpWb04wRRAB!2m1!1s0x0:0x63269fd3423d819c!3m1!1s2@1:CAIQACodChtycF9oOjRyMlRoWUZlWmwzeXBXcmFzdjVoN0E%7C%7C?hl=en", "View Link")</f>
        <v>View Link</v>
      </c>
      <c r="L605" s="3"/>
    </row>
    <row r="606" spans="1:12" ht="20" customHeight="1">
      <c r="A606" s="2"/>
      <c r="B606" s="2"/>
      <c r="C606" s="2"/>
      <c r="D606" s="2"/>
      <c r="E606" s="3"/>
      <c r="F606" s="4"/>
      <c r="G606" s="5" t="s">
        <v>1942</v>
      </c>
      <c r="H606" s="4">
        <v>1</v>
      </c>
      <c r="I606" s="2" t="s">
        <v>1943</v>
      </c>
      <c r="J606" s="4" t="s">
        <v>1944</v>
      </c>
      <c r="K606" s="3" t="str">
        <f>HYPERLINK("https://www.google.com/maps/reviews/data=!4m8!14m7!1m6!2m5!1sCi9DQUlRQUNvZENodHljRjlvT2toV2N6bDVPRU5XVjFBMWJGSkhXRFpUTlZsWk1sRRAB!2m1!1s0x0:0x63269fd3423d819c!3m1!1s2@1:CAIQACodChtycF9oOkhWczl5OENWV1A1bFJHWDZTNVlZMlE%7C%7C?hl=en", "View Link")</f>
        <v>View Link</v>
      </c>
      <c r="L606" s="3"/>
    </row>
    <row r="607" spans="1:12" ht="20" customHeight="1">
      <c r="A607" s="2"/>
      <c r="B607" s="2"/>
      <c r="C607" s="2"/>
      <c r="D607" s="2"/>
      <c r="E607" s="3"/>
      <c r="F607" s="4"/>
      <c r="G607" s="5" t="s">
        <v>1945</v>
      </c>
      <c r="H607" s="4">
        <v>1</v>
      </c>
      <c r="I607" s="2" t="s">
        <v>1946</v>
      </c>
      <c r="J607" s="4" t="s">
        <v>1947</v>
      </c>
      <c r="K607" s="3" t="str">
        <f>HYPERLINK("https://www.google.com/maps/reviews/data=!4m8!14m7!1m6!2m5!1sCi9DQUlRQUNvZENodHljRjlvT2xGM1kzUnROWEpHWldKbVlXcGZURzVFTkVkS1FrRRAB!2m1!1s0x0:0x63269fd3423d819c!3m1!1s2@1:CAIQACodChtycF9oOlF3Y3RtNXJGZWJmYWpfTG5ENEdKQkE%7C%7C?hl=en", "View Link")</f>
        <v>View Link</v>
      </c>
      <c r="L607" s="3"/>
    </row>
    <row r="608" spans="1:12" ht="20" customHeight="1">
      <c r="A608" s="2"/>
      <c r="B608" s="2"/>
      <c r="C608" s="2"/>
      <c r="D608" s="2"/>
      <c r="E608" s="3"/>
      <c r="F608" s="4"/>
      <c r="G608" s="5" t="s">
        <v>1948</v>
      </c>
      <c r="H608" s="4">
        <v>1</v>
      </c>
      <c r="I608" s="2" t="s">
        <v>1949</v>
      </c>
      <c r="J608" s="4" t="s">
        <v>1950</v>
      </c>
      <c r="K608" s="3" t="str">
        <f>HYPERLINK("https://www.google.com/maps/reviews/data=!4m8!14m7!1m6!2m5!1sCi9DQUlRQUNvZENodHljRjlvT210cU1FNVNWbWxaWlZSaE4xSkdSVVowYXpWWFYxRRAB!2m1!1s0x0:0x63269fd3423d819c!3m1!1s2@1:CAIQACodChtycF9oOmtqME5SVmlZZVRhN1JGRUZ0azVXV1E%7C%7C?hl=en", "View Link")</f>
        <v>View Link</v>
      </c>
      <c r="L608" s="3"/>
    </row>
    <row r="609" spans="1:12" ht="20" customHeight="1">
      <c r="A609" s="2"/>
      <c r="B609" s="2"/>
      <c r="C609" s="2"/>
      <c r="D609" s="2"/>
      <c r="E609" s="3"/>
      <c r="F609" s="4"/>
      <c r="G609" s="5" t="s">
        <v>1951</v>
      </c>
      <c r="H609" s="4">
        <v>1</v>
      </c>
      <c r="I609" s="2" t="s">
        <v>1952</v>
      </c>
      <c r="J609" s="4" t="s">
        <v>1953</v>
      </c>
      <c r="K609" s="3" t="str">
        <f>HYPERLINK("https://www.google.com/maps/reviews/data=!4m8!14m7!1m6!2m5!1sChZDSUhNMG9nS0VJQ0FnSUN0dzdfckxREAE!2m1!1s0x0:0x63269fd3423d819c!3m1!1s2@1:CIHM0ogKEICAgICtw7_rLQ%7C%7C?hl=en", "View Link")</f>
        <v>View Link</v>
      </c>
      <c r="L609" s="3"/>
    </row>
    <row r="610" spans="1:12" ht="20" customHeight="1">
      <c r="A610" s="2"/>
      <c r="B610" s="2"/>
      <c r="C610" s="2"/>
      <c r="D610" s="2"/>
      <c r="E610" s="3"/>
      <c r="F610" s="4"/>
      <c r="G610" s="5" t="s">
        <v>1954</v>
      </c>
      <c r="H610" s="4">
        <v>1</v>
      </c>
      <c r="I610" s="2" t="s">
        <v>1955</v>
      </c>
      <c r="J610" s="4" t="s">
        <v>1956</v>
      </c>
      <c r="K610" s="3" t="str">
        <f>HYPERLINK("https://www.google.com/maps/reviews/data=!4m8!14m7!1m6!2m5!1sCi9DQUlRQUNvZENodHljRjlvT2pGMVdGZENaRTQwVHpKYWMyNUtTMmhaZW0xNmNYYxAB!2m1!1s0x0:0x63269fd3423d819c!3m1!1s2@1:CAIQACodChtycF9oOjF1WFdCZE40TzJac25KS2hZem16cXc%7C%7C?hl=en", "View Link")</f>
        <v>View Link</v>
      </c>
      <c r="L610" s="3"/>
    </row>
    <row r="611" spans="1:12" ht="20" customHeight="1">
      <c r="A611" s="2"/>
      <c r="B611" s="2"/>
      <c r="C611" s="2"/>
      <c r="D611" s="2"/>
      <c r="E611" s="3"/>
      <c r="F611" s="4"/>
      <c r="G611" s="5" t="s">
        <v>1957</v>
      </c>
      <c r="H611" s="4">
        <v>1</v>
      </c>
      <c r="I611" s="2" t="s">
        <v>1958</v>
      </c>
      <c r="J611" s="4" t="s">
        <v>1959</v>
      </c>
      <c r="K611" s="3" t="str">
        <f>HYPERLINK("https://www.google.com/maps/reviews/data=!4m8!14m7!1m6!2m5!1sChZDSUhNMG9nS0VJQ0FnSURDMGI3ZFN3EAE!2m1!1s0x0:0x63269fd3423d819c!3m1!1s2@1:CIHM0ogKEICAgIDC0b7dSw%7C%7C?hl=en", "View Link")</f>
        <v>View Link</v>
      </c>
      <c r="L611" s="3"/>
    </row>
    <row r="612" spans="1:12" ht="20" customHeight="1">
      <c r="A612" s="2"/>
      <c r="B612" s="2"/>
      <c r="C612" s="2"/>
      <c r="D612" s="2"/>
      <c r="E612" s="3"/>
      <c r="F612" s="4"/>
      <c r="G612" s="5" t="s">
        <v>1960</v>
      </c>
      <c r="H612" s="4">
        <v>1</v>
      </c>
      <c r="I612" s="2" t="s">
        <v>1961</v>
      </c>
      <c r="J612" s="4" t="s">
        <v>1962</v>
      </c>
      <c r="K612" s="3" t="str">
        <f>HYPERLINK("https://www.google.com/maps/reviews/data=!4m8!14m7!1m6!2m5!1sCi9DQUlRQUNvZENodHljRjlvT2sxcVYyNVpWelkxUWxwR1QwOTVlVE5PZDNsMGNsRRAB!2m1!1s0x0:0x63269fd3423d819c!3m1!1s2@1:CAIQACodChtycF9oOk1qV25ZVzY1QlpGT095eTNOd3l0clE%7C%7C?hl=en", "View Link")</f>
        <v>View Link</v>
      </c>
      <c r="L612" s="3"/>
    </row>
    <row r="613" spans="1:12" ht="20" customHeight="1">
      <c r="A613" s="2"/>
      <c r="B613" s="2"/>
      <c r="C613" s="2"/>
      <c r="D613" s="2"/>
      <c r="E613" s="3"/>
      <c r="F613" s="4"/>
      <c r="G613" s="5" t="s">
        <v>1963</v>
      </c>
      <c r="H613" s="4">
        <v>1</v>
      </c>
      <c r="I613" s="2" t="s">
        <v>1964</v>
      </c>
      <c r="J613" s="4" t="s">
        <v>1965</v>
      </c>
      <c r="K613" s="3" t="str">
        <f>HYPERLINK("https://www.google.com/maps/reviews/data=!4m8!14m7!1m6!2m5!1sChdDSUhNMG9nS0VKMmoycnlpaWFhQTFBRRAB!2m1!1s0x0:0x63269fd3423d819c!3m1!1s2@1:CIHM0ogKEJ2j2ryiiaaA1AE%7C%7C?hl=en", "View Link")</f>
        <v>View Link</v>
      </c>
      <c r="L613" s="3"/>
    </row>
    <row r="614" spans="1:12" ht="20" customHeight="1">
      <c r="A614" s="2"/>
      <c r="B614" s="2"/>
      <c r="C614" s="2"/>
      <c r="D614" s="2"/>
      <c r="E614" s="3"/>
      <c r="F614" s="4"/>
      <c r="G614" s="5" t="s">
        <v>1966</v>
      </c>
      <c r="H614" s="4">
        <v>1</v>
      </c>
      <c r="I614" s="2" t="s">
        <v>1967</v>
      </c>
      <c r="J614" s="4" t="s">
        <v>1968</v>
      </c>
      <c r="K614" s="3" t="str">
        <f>HYPERLINK("https://www.google.com/maps/reviews/data=!4m8!14m7!1m6!2m5!1sChdDSUhNMG9nS0VJQ0FnSUNub3AtUXVRRRAB!2m1!1s0x0:0x63269fd3423d819c!3m1!1s2@1:CIHM0ogKEICAgICnop-QuQE%7C%7C?hl=en", "View Link")</f>
        <v>View Link</v>
      </c>
      <c r="L614" s="3"/>
    </row>
    <row r="615" spans="1:12" ht="20" customHeight="1">
      <c r="A615" s="2"/>
      <c r="B615" s="2"/>
      <c r="C615" s="2"/>
      <c r="D615" s="2"/>
      <c r="E615" s="3"/>
      <c r="F615" s="4"/>
      <c r="G615" s="5" t="s">
        <v>1969</v>
      </c>
      <c r="H615" s="4">
        <v>1</v>
      </c>
      <c r="I615" s="2" t="s">
        <v>1970</v>
      </c>
      <c r="J615" s="4" t="s">
        <v>1971</v>
      </c>
      <c r="K615" s="3" t="str">
        <f>HYPERLINK("https://www.google.com/maps/reviews/data=!4m8!14m7!1m6!2m5!1sChdDSUhNMG9nS0VJQ0FnSURya3NfQ2tnRRAB!2m1!1s0x0:0x63269fd3423d819c!3m1!1s2@1:CIHM0ogKEICAgIDrks_CkgE%7C%7C?hl=en", "View Link")</f>
        <v>View Link</v>
      </c>
      <c r="L615" s="3"/>
    </row>
    <row r="616" spans="1:12" ht="20" customHeight="1">
      <c r="A616" s="2"/>
      <c r="B616" s="2"/>
      <c r="C616" s="2"/>
      <c r="D616" s="2"/>
      <c r="E616" s="3"/>
      <c r="F616" s="4"/>
      <c r="G616" s="5" t="s">
        <v>1972</v>
      </c>
      <c r="H616" s="4">
        <v>1</v>
      </c>
      <c r="I616" s="2" t="s">
        <v>1973</v>
      </c>
      <c r="J616" s="4" t="s">
        <v>1974</v>
      </c>
      <c r="K616" s="3" t="str">
        <f>HYPERLINK("https://www.google.com/maps/reviews/data=!4m8!14m7!1m6!2m5!1sChdDSUhNMG9nS0VJQ0FnSUNEOHBPUmhnRRAB!2m1!1s0x0:0x63269fd3423d819c!3m1!1s2@1:CIHM0ogKEICAgICD8pORhgE%7C%7C?hl=en", "View Link")</f>
        <v>View Link</v>
      </c>
      <c r="L616" s="3"/>
    </row>
    <row r="617" spans="1:12" ht="20" customHeight="1">
      <c r="A617" s="2"/>
      <c r="B617" s="2"/>
      <c r="C617" s="2"/>
      <c r="D617" s="2"/>
      <c r="E617" s="3"/>
      <c r="F617" s="4"/>
      <c r="G617" s="5" t="s">
        <v>1975</v>
      </c>
      <c r="H617" s="4">
        <v>1</v>
      </c>
      <c r="I617" s="2" t="s">
        <v>1976</v>
      </c>
      <c r="J617" s="4" t="s">
        <v>1977</v>
      </c>
      <c r="K617" s="3" t="str">
        <f>HYPERLINK("https://www.google.com/maps/reviews/data=!4m8!14m7!1m6!2m5!1sChZDSUhNMG9nS0VJQ0FnSUNGcV8yNktnEAE!2m1!1s0x0:0x63269fd3423d819c!3m1!1s2@1:CIHM0ogKEICAgICFq_26Kg%7C%7C?hl=en", "View Link")</f>
        <v>View Link</v>
      </c>
      <c r="L617" s="3"/>
    </row>
    <row r="618" spans="1:12" ht="20" customHeight="1">
      <c r="A618" s="2" t="s">
        <v>1978</v>
      </c>
      <c r="B618" s="2" t="s">
        <v>1979</v>
      </c>
      <c r="C618" s="2" t="s">
        <v>1980</v>
      </c>
      <c r="D618" s="2" t="s">
        <v>1981</v>
      </c>
      <c r="E618" s="3">
        <f>HYPERLINK("http://www.minovalianca.com/", "Visit Website")</f>
        <v>0</v>
      </c>
      <c r="F618" s="4">
        <v>3.5</v>
      </c>
      <c r="G618" s="5" t="s">
        <v>1982</v>
      </c>
      <c r="H618" s="4">
        <v>1</v>
      </c>
      <c r="I618" s="2" t="s">
        <v>1983</v>
      </c>
      <c r="J618" s="4" t="s">
        <v>1984</v>
      </c>
      <c r="K618" s="3" t="str">
        <f>HYPERLINK("https://www.google.com/maps/reviews/data=!4m8!14m7!1m6!2m5!1sCi9DQUlRQUNvZENodHljRjlvT2pWRWFsVllNR1JHU1ZOeFZERk1TVmR2YnpCR2FIYxAB!2m1!1s0x0:0xa1d9b2e99bf78b14!3m1!1s2@1:CAIQACodChtycF9oOjVEalVYMGRGSVNxVDFMSVdvbzBGaHc%7C%7C?hl=en", "View Link")</f>
        <v>View Link</v>
      </c>
      <c r="L618" s="3">
        <f>HYPERLINK("https://www.google.com/maps/search/?api=1&amp;query=Cl%C3%ADnica%20Mi%20NovAlian%C3%A7a%20%7C%20Lleida&amp;query_place_id=ChIJowWQtkPgphIRFIv3m-my2aE", "Open Map")</f>
        <v>0</v>
      </c>
    </row>
    <row r="619" spans="1:12" ht="20" customHeight="1">
      <c r="A619" s="2"/>
      <c r="B619" s="2"/>
      <c r="C619" s="2"/>
      <c r="D619" s="2"/>
      <c r="E619" s="3"/>
      <c r="F619" s="4"/>
      <c r="G619" s="5" t="s">
        <v>1985</v>
      </c>
      <c r="H619" s="4">
        <v>1</v>
      </c>
      <c r="I619" s="2" t="s">
        <v>1986</v>
      </c>
      <c r="J619" s="4" t="s">
        <v>1987</v>
      </c>
      <c r="K619" s="3" t="str">
        <f>HYPERLINK("https://www.google.com/maps/reviews/data=!4m8!14m7!1m6!2m5!1sCi9DQUlRQUNvZENodHljRjlvT2pOMmNXZG1SbGxJTjBKUVFWQjFSRWhvTW5GQ2FrRRAB!2m1!1s0x0:0xa1d9b2e99bf78b14!3m1!1s2@1:CAIQACodChtycF9oOjN2cWdmRllIN0JQQVB1REhoMnFCakE%7C%7C?hl=en", "View Link")</f>
        <v>View Link</v>
      </c>
      <c r="L619" s="3"/>
    </row>
    <row r="620" spans="1:12" ht="20" customHeight="1">
      <c r="A620" s="2"/>
      <c r="B620" s="2"/>
      <c r="C620" s="2"/>
      <c r="D620" s="2"/>
      <c r="E620" s="3"/>
      <c r="F620" s="4"/>
      <c r="G620" s="5" t="s">
        <v>1988</v>
      </c>
      <c r="H620" s="4">
        <v>1</v>
      </c>
      <c r="I620" s="2" t="s">
        <v>1989</v>
      </c>
      <c r="J620" s="4" t="s">
        <v>1990</v>
      </c>
      <c r="K620" s="3" t="str">
        <f>HYPERLINK("https://www.google.com/maps/reviews/data=!4m8!14m7!1m6!2m5!1sCi9DQUlRQUNvZENodHljRjlvT21OVFkyeFRPREpIUWxCNVVrSXRhbFpqVWtJMmFHYxAB!2m1!1s0x0:0xa1d9b2e99bf78b14!3m1!1s2@1:CAIQACodChtycF9oOmNTY2xTODJHQlB5UkItalZjUkI2aGc%7C%7C?hl=en", "View Link")</f>
        <v>View Link</v>
      </c>
      <c r="L620" s="3"/>
    </row>
    <row r="621" spans="1:12" ht="20" customHeight="1">
      <c r="A621" s="2"/>
      <c r="B621" s="2"/>
      <c r="C621" s="2"/>
      <c r="D621" s="2"/>
      <c r="E621" s="3"/>
      <c r="F621" s="4"/>
      <c r="G621" s="5" t="s">
        <v>1991</v>
      </c>
      <c r="H621" s="4">
        <v>1</v>
      </c>
      <c r="I621" s="2" t="s">
        <v>1992</v>
      </c>
      <c r="J621" s="4" t="s">
        <v>1993</v>
      </c>
      <c r="K621" s="3" t="str">
        <f>HYPERLINK("https://www.google.com/maps/reviews/data=!4m8!14m7!1m6!2m5!1sCi9DQUlRQUNvZENodHljRjlvT2taWGNVRk1jVVIxTW5sYVgyWnZhbXR4U1RKT2JFRRAB!2m1!1s0x0:0xa1d9b2e99bf78b14!3m1!1s2@1:CAIQACodChtycF9oOkZXcUFMcUR1MnlaX2ZvamtxSTJObEE%7C%7C?hl=en", "View Link")</f>
        <v>View Link</v>
      </c>
      <c r="L621" s="3"/>
    </row>
    <row r="622" spans="1:12" ht="20" customHeight="1">
      <c r="A622" s="2"/>
      <c r="B622" s="2"/>
      <c r="C622" s="2"/>
      <c r="D622" s="2"/>
      <c r="E622" s="3"/>
      <c r="F622" s="4"/>
      <c r="G622" s="5" t="s">
        <v>1994</v>
      </c>
      <c r="H622" s="4">
        <v>1</v>
      </c>
      <c r="I622" s="2" t="s">
        <v>1995</v>
      </c>
      <c r="J622" s="4" t="s">
        <v>1996</v>
      </c>
      <c r="K622" s="3" t="str">
        <f>HYPERLINK("https://www.google.com/maps/reviews/data=!4m8!14m7!1m6!2m5!1sCi9DQUlRQUNvZENodHljRjlvT2tkUFR6SktiV3d4Y3pOVFdTMTBSalpMVTFGQmNsRRAB!2m1!1s0x0:0xa1d9b2e99bf78b14!3m1!1s2@1:CAIQACodChtycF9oOkdPTzJKbWwxczNTWS10RjZLU1FBclE%7C%7C?hl=en", "View Link")</f>
        <v>View Link</v>
      </c>
      <c r="L622" s="3"/>
    </row>
    <row r="623" spans="1:12" ht="20" customHeight="1">
      <c r="A623" s="2"/>
      <c r="B623" s="2"/>
      <c r="C623" s="2"/>
      <c r="D623" s="2"/>
      <c r="E623" s="3"/>
      <c r="F623" s="4"/>
      <c r="G623" s="5" t="s">
        <v>1997</v>
      </c>
      <c r="H623" s="4">
        <v>1</v>
      </c>
      <c r="I623" s="2" t="s">
        <v>1998</v>
      </c>
      <c r="J623" s="4" t="s">
        <v>1999</v>
      </c>
      <c r="K623" s="3" t="str">
        <f>HYPERLINK("https://www.google.com/maps/reviews/data=!4m8!14m7!1m6!2m5!1sCi9DQUlRQUNvZENodHljRjlvT25KSllsWndhVFZRT1VOUU5GQkpiamcxWkVaUFNsRRAB!2m1!1s0x0:0xa1d9b2e99bf78b14!3m1!1s2@1:CAIQACodChtycF9oOnJJYlZwaTVQOUNQNFBJbjg1ZEZPSlE%7C%7C?hl=en", "View Link")</f>
        <v>View Link</v>
      </c>
      <c r="L623" s="3"/>
    </row>
    <row r="624" spans="1:12" ht="20" customHeight="1">
      <c r="A624" s="2"/>
      <c r="B624" s="2"/>
      <c r="C624" s="2"/>
      <c r="D624" s="2"/>
      <c r="E624" s="3"/>
      <c r="F624" s="4"/>
      <c r="G624" s="5" t="s">
        <v>2000</v>
      </c>
      <c r="H624" s="4">
        <v>1</v>
      </c>
      <c r="I624" s="2" t="s">
        <v>2001</v>
      </c>
      <c r="J624" s="4" t="s">
        <v>2002</v>
      </c>
      <c r="K624" s="3" t="str">
        <f>HYPERLINK("https://www.google.com/maps/reviews/data=!4m8!14m7!1m6!2m5!1sCi9DQUlRQUNvZENodHljRjlvT2pWS1pUVnFNbDh5VVZsMVMzUkpSa2Q0VW10WlZXYxAB!2m1!1s0x0:0xa1d9b2e99bf78b14!3m1!1s2@1:CAIQACodChtycF9oOjVKZTVqMl8yUVl1S3RJRkd4UmtZVWc%7C%7C?hl=en", "View Link")</f>
        <v>View Link</v>
      </c>
      <c r="L624" s="3"/>
    </row>
    <row r="625" spans="1:12" ht="20" customHeight="1">
      <c r="A625" s="2"/>
      <c r="B625" s="2"/>
      <c r="C625" s="2"/>
      <c r="D625" s="2"/>
      <c r="E625" s="3"/>
      <c r="F625" s="4"/>
      <c r="G625" s="5" t="s">
        <v>2003</v>
      </c>
      <c r="H625" s="4">
        <v>1</v>
      </c>
      <c r="I625" s="2" t="s">
        <v>2004</v>
      </c>
      <c r="J625" s="4" t="s">
        <v>2005</v>
      </c>
      <c r="K625" s="3" t="str">
        <f>HYPERLINK("https://www.google.com/maps/reviews/data=!4m8!14m7!1m6!2m5!1sCi9DQUlRQUNvZENodHljRjlvT2tsT01FdFdOM0ZIV25WZmN6Y3lTM3AyVlcxMk1sRRAB!2m1!1s0x0:0xa1d9b2e99bf78b14!3m1!1s2@1:CAIQACodChtycF9oOklOMEtWN3FHWnVfczcyS3p2VW12MlE%7C%7C?hl=en", "View Link")</f>
        <v>View Link</v>
      </c>
      <c r="L625" s="3"/>
    </row>
    <row r="626" spans="1:12" ht="20" customHeight="1">
      <c r="A626" s="2"/>
      <c r="B626" s="2"/>
      <c r="C626" s="2"/>
      <c r="D626" s="2"/>
      <c r="E626" s="3"/>
      <c r="F626" s="4"/>
      <c r="G626" s="5" t="s">
        <v>2006</v>
      </c>
      <c r="H626" s="4">
        <v>1</v>
      </c>
      <c r="I626" s="2" t="s">
        <v>2007</v>
      </c>
      <c r="J626" s="4" t="s">
        <v>2008</v>
      </c>
      <c r="K626" s="3" t="str">
        <f>HYPERLINK("https://www.google.com/maps/reviews/data=!4m8!14m7!1m6!2m5!1sCi9DQUlRQUNvZENodHljRjlvT25OMFpGaENhazVpWVRWdU9XdDRkV3BzTFdnMmNGRRAB!2m1!1s0x0:0xa1d9b2e99bf78b14!3m1!1s2@1:CAIQACodChtycF9oOnN0ZFhCak5iYTVuOWt4dWpsLWg2cFE%7C%7C?hl=en", "View Link")</f>
        <v>View Link</v>
      </c>
      <c r="L626" s="3"/>
    </row>
    <row r="627" spans="1:12" ht="20" customHeight="1">
      <c r="A627" s="2"/>
      <c r="B627" s="2"/>
      <c r="C627" s="2"/>
      <c r="D627" s="2"/>
      <c r="E627" s="3"/>
      <c r="F627" s="4"/>
      <c r="G627" s="5" t="s">
        <v>2009</v>
      </c>
      <c r="H627" s="4">
        <v>1</v>
      </c>
      <c r="I627" s="2" t="s">
        <v>2010</v>
      </c>
      <c r="J627" s="4" t="s">
        <v>2011</v>
      </c>
      <c r="K627" s="3" t="str">
        <f>HYPERLINK("https://www.google.com/maps/reviews/data=!4m8!14m7!1m6!2m5!1sCi9DQUlRQUNvZENodHljRjlvT21SclJuTllPVmxxWWpCSFMyZFBURGxmUzFrdFlVRRAB!2m1!1s0x0:0xa1d9b2e99bf78b14!3m1!1s2@1:CAIQACodChtycF9oOmRrRnNYOVlqYjBHS2dPTDlfS1ktYUE%7C%7C?hl=en", "View Link")</f>
        <v>View Link</v>
      </c>
      <c r="L627" s="3"/>
    </row>
    <row r="628" spans="1:12" ht="20" customHeight="1">
      <c r="A628" s="2"/>
      <c r="B628" s="2"/>
      <c r="C628" s="2"/>
      <c r="D628" s="2"/>
      <c r="E628" s="3"/>
      <c r="F628" s="4"/>
      <c r="G628" s="5" t="s">
        <v>2012</v>
      </c>
      <c r="H628" s="4">
        <v>1</v>
      </c>
      <c r="I628" s="2" t="s">
        <v>2013</v>
      </c>
      <c r="J628" s="4" t="s">
        <v>2014</v>
      </c>
      <c r="K628" s="3" t="str">
        <f>HYPERLINK("https://www.google.com/maps/reviews/data=!4m8!14m7!1m6!2m5!1sCi9DQUlRQUNvZENodHljRjlvT21Gc1VuVkVlR05PT1ZKdWNrMWlZalJmVTB0VmRHYxAB!2m1!1s0x0:0xa1d9b2e99bf78b14!3m1!1s2@1:CAIQACodChtycF9oOmFsUnVEeGNOOVJuck1iYjRfU0tVdGc%7C%7C?hl=en", "View Link")</f>
        <v>View Link</v>
      </c>
      <c r="L628" s="3"/>
    </row>
    <row r="629" spans="1:12" ht="20" customHeight="1">
      <c r="A629" s="2"/>
      <c r="B629" s="2"/>
      <c r="C629" s="2"/>
      <c r="D629" s="2"/>
      <c r="E629" s="3"/>
      <c r="F629" s="4"/>
      <c r="G629" s="5" t="s">
        <v>2015</v>
      </c>
      <c r="H629" s="4">
        <v>1</v>
      </c>
      <c r="I629" s="2" t="s">
        <v>2016</v>
      </c>
      <c r="J629" s="4" t="s">
        <v>2017</v>
      </c>
      <c r="K629" s="3" t="str">
        <f>HYPERLINK("https://www.google.com/maps/reviews/data=!4m8!14m7!1m6!2m5!1sCi9DQUlRQUNvZENodHljRjlvT25rMVJVdE9XVGQzVDNBeWQyNWxYelJUVmxwWWFtYxAB!2m1!1s0x0:0xa1d9b2e99bf78b14!3m1!1s2@1:CAIQACodChtycF9oOnk1RUtOWTd3T3Ayd25lXzRTVlpYamc%7C%7C?hl=en", "View Link")</f>
        <v>View Link</v>
      </c>
      <c r="L629" s="3"/>
    </row>
    <row r="630" spans="1:12" ht="20" customHeight="1">
      <c r="A630" s="2"/>
      <c r="B630" s="2"/>
      <c r="C630" s="2"/>
      <c r="D630" s="2"/>
      <c r="E630" s="3"/>
      <c r="F630" s="4"/>
      <c r="G630" s="5" t="s">
        <v>2018</v>
      </c>
      <c r="H630" s="4">
        <v>1</v>
      </c>
      <c r="I630" s="2" t="s">
        <v>2019</v>
      </c>
      <c r="J630" s="4" t="s">
        <v>2020</v>
      </c>
      <c r="K630" s="3" t="str">
        <f>HYPERLINK("https://www.google.com/maps/reviews/data=!4m8!14m7!1m6!2m5!1sCi9DQUlRQUNvZENodHljRjlvT2xOWVdHOURUazluY0UxcGVUSktUVU5vVmxZMFRuYxAB!2m1!1s0x0:0xa1d9b2e99bf78b14!3m1!1s2@1:CAIQACodChtycF9oOlNYWG9DTk9ncE1peTJKTUNoVlY0Tnc%7C%7C?hl=en", "View Link")</f>
        <v>View Link</v>
      </c>
      <c r="L630" s="3"/>
    </row>
    <row r="631" spans="1:12" ht="20" customHeight="1">
      <c r="A631" s="2"/>
      <c r="B631" s="2"/>
      <c r="C631" s="2"/>
      <c r="D631" s="2"/>
      <c r="E631" s="3"/>
      <c r="F631" s="4"/>
      <c r="G631" s="5" t="s">
        <v>2021</v>
      </c>
      <c r="H631" s="4">
        <v>1</v>
      </c>
      <c r="I631" s="2" t="s">
        <v>2022</v>
      </c>
      <c r="J631" s="4" t="s">
        <v>2023</v>
      </c>
      <c r="K631" s="3" t="str">
        <f>HYPERLINK("https://www.google.com/maps/reviews/data=!4m8!14m7!1m6!2m5!1sCi9DQUlRQUNvZENodHljRjlvT2xwVGNsaE5jbUZCYVdrM1VuazFVa1ZGWW5OS09FRRAB!2m1!1s0x0:0xa1d9b2e99bf78b14!3m1!1s2@1:CAIQACodChtycF9oOlpTclhNcmFBaWk3Unk1UkVFYnNKOEE%7C%7C?hl=en", "View Link")</f>
        <v>View Link</v>
      </c>
      <c r="L631" s="3"/>
    </row>
    <row r="632" spans="1:12" ht="20" customHeight="1">
      <c r="A632" s="2"/>
      <c r="B632" s="2"/>
      <c r="C632" s="2"/>
      <c r="D632" s="2"/>
      <c r="E632" s="3"/>
      <c r="F632" s="4"/>
      <c r="G632" s="5" t="s">
        <v>2024</v>
      </c>
      <c r="H632" s="4">
        <v>1</v>
      </c>
      <c r="I632" s="2" t="s">
        <v>2025</v>
      </c>
      <c r="J632" s="4" t="s">
        <v>2026</v>
      </c>
      <c r="K632" s="3" t="str">
        <f>HYPERLINK("https://www.google.com/maps/reviews/data=!4m8!14m7!1m6!2m5!1sCi9DQUlRQUNvZENodHljRjlvT2xscU1DMWpUVGRhZUdnMGFFeEVTVWxXVUZabmRsRRAB!2m1!1s0x0:0xa1d9b2e99bf78b14!3m1!1s2@1:CAIQACodChtycF9oOllqMC1jTTdaeGg0aExESUlWUFZndlE%7C%7C?hl=en", "View Link")</f>
        <v>View Link</v>
      </c>
      <c r="L632" s="3"/>
    </row>
    <row r="633" spans="1:12" ht="20" customHeight="1">
      <c r="A633" s="2"/>
      <c r="B633" s="2"/>
      <c r="C633" s="2"/>
      <c r="D633" s="2"/>
      <c r="E633" s="3"/>
      <c r="F633" s="4"/>
      <c r="G633" s="5" t="s">
        <v>2027</v>
      </c>
      <c r="H633" s="4">
        <v>1</v>
      </c>
      <c r="I633" s="2" t="s">
        <v>2028</v>
      </c>
      <c r="J633" s="4" t="s">
        <v>2029</v>
      </c>
      <c r="K633" s="3" t="str">
        <f>HYPERLINK("https://www.google.com/maps/reviews/data=!4m8!14m7!1m6!2m5!1sCi9DQUlRQUNvZENodHljRjlvT21oVUxWWTROWGx3U0hOUFltMVVjSEZaYVdwcVltYxAB!2m1!1s0x0:0xa1d9b2e99bf78b14!3m1!1s2@1:CAIQACodChtycF9oOmhULVY4NXlwSHNPYm1UcHFZaWpqYmc%7C%7C?hl=en", "View Link")</f>
        <v>View Link</v>
      </c>
      <c r="L633" s="3"/>
    </row>
    <row r="634" spans="1:12" ht="20" customHeight="1">
      <c r="A634" s="2"/>
      <c r="B634" s="2"/>
      <c r="C634" s="2"/>
      <c r="D634" s="2"/>
      <c r="E634" s="3"/>
      <c r="F634" s="4"/>
      <c r="G634" s="5" t="s">
        <v>2030</v>
      </c>
      <c r="H634" s="4">
        <v>1</v>
      </c>
      <c r="I634" s="2" t="s">
        <v>2031</v>
      </c>
      <c r="J634" s="4" t="s">
        <v>2032</v>
      </c>
      <c r="K634" s="3" t="str">
        <f>HYPERLINK("https://www.google.com/maps/reviews/data=!4m8!14m7!1m6!2m5!1sChdDSUhNMG9nS0VJQ0FnSUMxdUtXSzVBRRAB!2m1!1s0x0:0xa1d9b2e99bf78b14!3m1!1s2@1:CIHM0ogKEICAgIC1uKWK5AE%7C%7C?hl=en", "View Link")</f>
        <v>View Link</v>
      </c>
      <c r="L634" s="3"/>
    </row>
    <row r="635" spans="1:12" ht="20" customHeight="1">
      <c r="A635" s="2"/>
      <c r="B635" s="2"/>
      <c r="C635" s="2"/>
      <c r="D635" s="2"/>
      <c r="E635" s="3"/>
      <c r="F635" s="4"/>
      <c r="G635" s="5" t="s">
        <v>2033</v>
      </c>
      <c r="H635" s="4">
        <v>1</v>
      </c>
      <c r="I635" s="2" t="s">
        <v>2034</v>
      </c>
      <c r="J635" s="4" t="s">
        <v>2035</v>
      </c>
      <c r="K635" s="3" t="str">
        <f>HYPERLINK("https://www.google.com/maps/reviews/data=!4m8!14m7!1m6!2m5!1sCi9DQUlRQUNvZENodHljRjlvT21KdU9HSndPV00xZUZoNFJFaFRaMTlHTUdsS2RYYxAB!2m1!1s0x0:0xa1d9b2e99bf78b14!3m1!1s2@1:CAIQACodChtycF9oOmJuOGJwOWM1eFh4REhTZ19GMGlKdXc%7C%7C?hl=en", "View Link")</f>
        <v>View Link</v>
      </c>
      <c r="L635" s="3"/>
    </row>
    <row r="636" spans="1:12" ht="20" customHeight="1">
      <c r="A636" s="2"/>
      <c r="B636" s="2"/>
      <c r="C636" s="2"/>
      <c r="D636" s="2"/>
      <c r="E636" s="3"/>
      <c r="F636" s="4"/>
      <c r="G636" s="5" t="s">
        <v>2036</v>
      </c>
      <c r="H636" s="4">
        <v>1</v>
      </c>
      <c r="I636" s="2" t="s">
        <v>2037</v>
      </c>
      <c r="J636" s="4" t="s">
        <v>2038</v>
      </c>
      <c r="K636" s="3" t="str">
        <f>HYPERLINK("https://www.google.com/maps/reviews/data=!4m8!14m7!1m6!2m5!1sChZDSUhNMG9nS0VJQ0FnTURReGVxZEhnEAE!2m1!1s0x0:0xa1d9b2e99bf78b14!3m1!1s2@1:CIHM0ogKEICAgMDQxeqdHg%7C%7C?hl=en", "View Link")</f>
        <v>View Link</v>
      </c>
      <c r="L636" s="3"/>
    </row>
    <row r="637" spans="1:12" ht="20" customHeight="1">
      <c r="A637" s="2"/>
      <c r="B637" s="2"/>
      <c r="C637" s="2"/>
      <c r="D637" s="2"/>
      <c r="E637" s="3"/>
      <c r="F637" s="4"/>
      <c r="G637" s="5" t="s">
        <v>2039</v>
      </c>
      <c r="H637" s="4">
        <v>1</v>
      </c>
      <c r="I637" s="2" t="s">
        <v>2040</v>
      </c>
      <c r="J637" s="4" t="s">
        <v>2041</v>
      </c>
      <c r="K637" s="3" t="str">
        <f>HYPERLINK("https://www.google.com/maps/reviews/data=!4m8!14m7!1m6!2m5!1sCi9DQUlRQUNvZENodHljRjlvT21WelRHbGxSRXRsY1VKZk0yZGlSall4ZUZaTk0wRRAB!2m1!1s0x0:0xa1d9b2e99bf78b14!3m1!1s2@1:CAIQACodChtycF9oOmVzTGllREtlcUJfM2diRjYxeFZNM0E%7C%7C?hl=en", "View Link")</f>
        <v>View Link</v>
      </c>
      <c r="L637" s="3"/>
    </row>
    <row r="638" spans="1:12" ht="20" customHeight="1">
      <c r="A638" s="2" t="s">
        <v>2042</v>
      </c>
      <c r="B638" s="2" t="s">
        <v>2043</v>
      </c>
      <c r="C638" s="2" t="s">
        <v>2044</v>
      </c>
      <c r="D638" s="2" t="s">
        <v>1180</v>
      </c>
      <c r="E638" s="3">
        <f>HYPERLINK("https://vithas.es/centro/vithas-centro-medico-lleida/", "Visit Website")</f>
        <v>0</v>
      </c>
      <c r="F638" s="4">
        <v>3.3</v>
      </c>
      <c r="G638" s="5" t="s">
        <v>2045</v>
      </c>
      <c r="H638" s="4">
        <v>1</v>
      </c>
      <c r="I638" s="2" t="s">
        <v>2046</v>
      </c>
      <c r="J638" s="4" t="s">
        <v>2047</v>
      </c>
      <c r="K638" s="3" t="str">
        <f>HYPERLINK("https://www.google.com/maps/reviews/data=!4m8!14m7!1m6!2m5!1sCi9DQUlRQUNvZENodHljRjlvT25sTlVYVnRPWHB2TVdWU01tUm5OalJuUTNNdFVYYxAB!2m1!1s0x0:0x2184fcd2909bb41e!3m1!1s2@1:CAIQACodChtycF9oOnlNUXVtOXpvMWVSMmRnNjRnQ3MtUXc%7C%7C?hl=en", "View Link")</f>
        <v>View Link</v>
      </c>
      <c r="L638" s="3">
        <f>HYPERLINK("https://www.google.com/maps/search/?api=1&amp;query=Vithas%20Centre%20M%C3%A8dic%20Lleida&amp;query_place_id=ChIJgYBPgGDgphIRHrSbkNL8hCE", "Open Map")</f>
        <v>0</v>
      </c>
    </row>
    <row r="639" spans="1:12" ht="20" customHeight="1">
      <c r="A639" s="2"/>
      <c r="B639" s="2"/>
      <c r="C639" s="2"/>
      <c r="D639" s="2"/>
      <c r="E639" s="3"/>
      <c r="F639" s="4"/>
      <c r="G639" s="5" t="s">
        <v>2048</v>
      </c>
      <c r="H639" s="4">
        <v>1</v>
      </c>
      <c r="I639" s="2" t="s">
        <v>2049</v>
      </c>
      <c r="J639" s="4" t="s">
        <v>2050</v>
      </c>
      <c r="K639" s="3" t="str">
        <f>HYPERLINK("https://www.google.com/maps/reviews/data=!4m8!14m7!1m6!2m5!1sCi9DQUlRQUNvZENodHljRjlvT21wdGEzZGlSVXczWVhFM2FFTlpYMVIwV2taQlIzYxAB!2m1!1s0x0:0x2184fcd2909bb41e!3m1!1s2@1:CAIQACodChtycF9oOmpta3diRUw3YXE3aENZX1R0WkZBR3c%7C%7C?hl=en", "View Link")</f>
        <v>View Link</v>
      </c>
      <c r="L639" s="3"/>
    </row>
    <row r="640" spans="1:12" ht="20" customHeight="1">
      <c r="A640" s="2"/>
      <c r="B640" s="2"/>
      <c r="C640" s="2"/>
      <c r="D640" s="2"/>
      <c r="E640" s="3"/>
      <c r="F640" s="4"/>
      <c r="G640" s="5" t="s">
        <v>2051</v>
      </c>
      <c r="H640" s="4">
        <v>1</v>
      </c>
      <c r="I640" s="2" t="s">
        <v>2052</v>
      </c>
      <c r="J640" s="4" t="s">
        <v>2053</v>
      </c>
      <c r="K640" s="3" t="str">
        <f>HYPERLINK("https://www.google.com/maps/reviews/data=!4m8!14m7!1m6!2m5!1sCi9DQUlRQUNvZENodHljRjlvT2xaMWRFZFhSMncwV1hGc1RVWmhTRWswTlVkT1VsRRAB!2m1!1s0x0:0x2184fcd2909bb41e!3m1!1s2@1:CAIQACodChtycF9oOlZ1dEdXR2w0WXFsTUZhSEk0NUdOUlE%7C%7C?hl=en", "View Link")</f>
        <v>View Link</v>
      </c>
      <c r="L640" s="3"/>
    </row>
    <row r="641" spans="1:12" ht="20" customHeight="1">
      <c r="A641" s="2"/>
      <c r="B641" s="2"/>
      <c r="C641" s="2"/>
      <c r="D641" s="2"/>
      <c r="E641" s="3"/>
      <c r="F641" s="4"/>
      <c r="G641" s="5" t="s">
        <v>2054</v>
      </c>
      <c r="H641" s="4">
        <v>1</v>
      </c>
      <c r="I641" s="2" t="s">
        <v>2055</v>
      </c>
      <c r="J641" s="4" t="s">
        <v>2056</v>
      </c>
      <c r="K641" s="3" t="str">
        <f>HYPERLINK("https://www.google.com/maps/reviews/data=!4m8!14m7!1m6!2m5!1sCi9DQUlRQUNvZENodHljRjlvT2kxSlVVSkljMnBvTUdwelgzbFZiWGRJUVhSSFYzYxAB!2m1!1s0x0:0x2184fcd2909bb41e!3m1!1s2@1:CAIQACodChtycF9oOi1JUUJIc2poMGpzX3lVbXdIQXRHV3c%7C%7C?hl=en", "View Link")</f>
        <v>View Link</v>
      </c>
      <c r="L641" s="3"/>
    </row>
    <row r="642" spans="1:12" ht="20" customHeight="1">
      <c r="A642" s="2"/>
      <c r="B642" s="2"/>
      <c r="C642" s="2"/>
      <c r="D642" s="2"/>
      <c r="E642" s="3"/>
      <c r="F642" s="4"/>
      <c r="G642" s="5" t="s">
        <v>2057</v>
      </c>
      <c r="H642" s="4">
        <v>1</v>
      </c>
      <c r="I642" s="2" t="s">
        <v>2058</v>
      </c>
      <c r="J642" s="4" t="s">
        <v>2059</v>
      </c>
      <c r="K642" s="3" t="str">
        <f>HYPERLINK("https://www.google.com/maps/reviews/data=!4m8!14m7!1m6!2m5!1sCi9DQUlRQUNvZENodHljRjlvT2xjNGRESkVTa1psYUhoWFZWbGpOM1JQYWpWNGVVRRAB!2m1!1s0x0:0x2184fcd2909bb41e!3m1!1s2@1:CAIQACodChtycF9oOlc4dDJESkZlaHhXVVljN3RPajV4eUE%7C%7C?hl=en", "View Link")</f>
        <v>View Link</v>
      </c>
      <c r="L642" s="3"/>
    </row>
    <row r="643" spans="1:12" ht="20" customHeight="1">
      <c r="A643" s="2"/>
      <c r="B643" s="2"/>
      <c r="C643" s="2"/>
      <c r="D643" s="2"/>
      <c r="E643" s="3"/>
      <c r="F643" s="4"/>
      <c r="G643" s="5" t="s">
        <v>2060</v>
      </c>
      <c r="H643" s="4">
        <v>1</v>
      </c>
      <c r="I643" s="2" t="s">
        <v>2061</v>
      </c>
      <c r="J643" s="4" t="s">
        <v>2062</v>
      </c>
      <c r="K643" s="3" t="str">
        <f>HYPERLINK("https://www.google.com/maps/reviews/data=!4m8!14m7!1m6!2m5!1sCi9DQUlRQUNvZENodHljRjlvT21GamRHcEtRblp2YVV4WlgxSlljbGRpWTFwc0xVRRAB!2m1!1s0x0:0x2184fcd2909bb41e!3m1!1s2@1:CAIQACodChtycF9oOmFjdGpKQnZvaUxZX1JYcldiY1psLUE%7C%7C?hl=en", "View Link")</f>
        <v>View Link</v>
      </c>
      <c r="L643" s="3"/>
    </row>
    <row r="644" spans="1:12" ht="20" customHeight="1">
      <c r="A644" s="2"/>
      <c r="B644" s="2"/>
      <c r="C644" s="2"/>
      <c r="D644" s="2"/>
      <c r="E644" s="3"/>
      <c r="F644" s="4"/>
      <c r="G644" s="5" t="s">
        <v>2063</v>
      </c>
      <c r="H644" s="4">
        <v>1</v>
      </c>
      <c r="I644" s="2" t="s">
        <v>2064</v>
      </c>
      <c r="J644" s="4" t="s">
        <v>2065</v>
      </c>
      <c r="K644" s="3" t="str">
        <f>HYPERLINK("https://www.google.com/maps/reviews/data=!4m8!14m7!1m6!2m5!1sCi9DQUlRQUNvZENodHljRjlvT2xKamNXZHFkM2xPWlRJNU1UQlJlV3h5Ym1OYWFVRRAB!2m1!1s0x0:0x2184fcd2909bb41e!3m1!1s2@1:CAIQACodChtycF9oOlJjcWdqd3lOZTI5MTBReWxybmNaaUE%7C%7C?hl=en", "View Link")</f>
        <v>View Link</v>
      </c>
      <c r="L644" s="3"/>
    </row>
    <row r="645" spans="1:12" ht="20" customHeight="1">
      <c r="A645" s="2"/>
      <c r="B645" s="2"/>
      <c r="C645" s="2"/>
      <c r="D645" s="2"/>
      <c r="E645" s="3"/>
      <c r="F645" s="4"/>
      <c r="G645" s="5" t="s">
        <v>2066</v>
      </c>
      <c r="H645" s="4">
        <v>1</v>
      </c>
      <c r="I645" s="2" t="s">
        <v>2067</v>
      </c>
      <c r="J645" s="4" t="s">
        <v>2068</v>
      </c>
      <c r="K645" s="3" t="str">
        <f>HYPERLINK("https://www.google.com/maps/reviews/data=!4m8!14m7!1m6!2m5!1sCi9DQUlRQUNvZENodHljRjlvT2tOSVdrb3hhVUpvWHpFMk5HWnlRVWhUTlhsTVgzYxAB!2m1!1s0x0:0x2184fcd2909bb41e!3m1!1s2@1:CAIQACodChtycF9oOkNIWkoxaUJoXzE2NGZyQUhTNXlMX3c%7C%7C?hl=en", "View Link")</f>
        <v>View Link</v>
      </c>
      <c r="L645" s="3"/>
    </row>
    <row r="646" spans="1:12" ht="20" customHeight="1">
      <c r="A646" s="2"/>
      <c r="B646" s="2"/>
      <c r="C646" s="2"/>
      <c r="D646" s="2"/>
      <c r="E646" s="3"/>
      <c r="F646" s="4"/>
      <c r="G646" s="5" t="s">
        <v>2069</v>
      </c>
      <c r="H646" s="4">
        <v>1</v>
      </c>
      <c r="I646" s="2" t="s">
        <v>2070</v>
      </c>
      <c r="J646" s="4" t="s">
        <v>2071</v>
      </c>
      <c r="K646" s="3" t="str">
        <f>HYPERLINK("https://www.google.com/maps/reviews/data=!4m8!14m7!1m6!2m5!1sCi9DQUlRQUNvZENodHljRjlvT214VFMwNDFURzh0WlhNdFoxbHlibG90U1VKck1GRRAB!2m1!1s0x0:0x2184fcd2909bb41e!3m1!1s2@1:CAIQACodChtycF9oOmxTS041TG8tZXMtZ1lyblotSUJrMFE%7C%7C?hl=en", "View Link")</f>
        <v>View Link</v>
      </c>
      <c r="L646" s="3"/>
    </row>
    <row r="647" spans="1:12" ht="20" customHeight="1">
      <c r="A647" s="2"/>
      <c r="B647" s="2"/>
      <c r="C647" s="2"/>
      <c r="D647" s="2"/>
      <c r="E647" s="3"/>
      <c r="F647" s="4"/>
      <c r="G647" s="5" t="s">
        <v>2072</v>
      </c>
      <c r="H647" s="4">
        <v>1</v>
      </c>
      <c r="I647" s="2" t="s">
        <v>2073</v>
      </c>
      <c r="J647" s="4" t="s">
        <v>2074</v>
      </c>
      <c r="K647" s="3" t="str">
        <f>HYPERLINK("https://www.google.com/maps/reviews/data=!4m8!14m7!1m6!2m5!1sCi9DQUlRQUNvZENodHljRjlvT2tkMFdrcHllak41TlVwQk16UmlaeTFoYlRjd1RXYxAB!2m1!1s0x0:0x2184fcd2909bb41e!3m1!1s2@1:CAIQACodChtycF9oOkd0WkpyejN5NUpBMzRiZy1hbTcwTWc%7C%7C?hl=en", "View Link")</f>
        <v>View Link</v>
      </c>
      <c r="L647" s="3"/>
    </row>
    <row r="648" spans="1:12" ht="20" customHeight="1">
      <c r="A648" s="2"/>
      <c r="B648" s="2"/>
      <c r="C648" s="2"/>
      <c r="D648" s="2"/>
      <c r="E648" s="3"/>
      <c r="F648" s="4"/>
      <c r="G648" s="5" t="s">
        <v>2075</v>
      </c>
      <c r="H648" s="4">
        <v>1</v>
      </c>
      <c r="I648" s="2" t="s">
        <v>2076</v>
      </c>
      <c r="J648" s="4" t="s">
        <v>2077</v>
      </c>
      <c r="K648" s="3" t="str">
        <f>HYPERLINK("https://www.google.com/maps/reviews/data=!4m8!14m7!1m6!2m5!1sCi9DQUlRQUNvZENodHljRjlvT25aWE1uVldaVWx2ZWpSclJVSnFaWFZqVTJWck5GRRAB!2m1!1s0x0:0x2184fcd2909bb41e!3m1!1s2@1:CAIQACodChtycF9oOnZXMnVWZUlvejRrRUJqZXVjU2VrNFE%7C%7C?hl=en", "View Link")</f>
        <v>View Link</v>
      </c>
      <c r="L648" s="3"/>
    </row>
    <row r="649" spans="1:12" ht="20" customHeight="1">
      <c r="A649" s="2"/>
      <c r="B649" s="2"/>
      <c r="C649" s="2"/>
      <c r="D649" s="2"/>
      <c r="E649" s="3"/>
      <c r="F649" s="4"/>
      <c r="G649" s="5" t="s">
        <v>2078</v>
      </c>
      <c r="H649" s="4">
        <v>1</v>
      </c>
      <c r="I649" s="2" t="s">
        <v>2079</v>
      </c>
      <c r="J649" s="4" t="s">
        <v>2080</v>
      </c>
      <c r="K649" s="3" t="str">
        <f>HYPERLINK("https://www.google.com/maps/reviews/data=!4m8!14m7!1m6!2m5!1sCi9DQUlRQUNvZENodHljRjlvT25KTVVIUldNa2RqVEhJMGRqRklTVXN3VUc5M1JXYxAB!2m1!1s0x0:0x2184fcd2909bb41e!3m1!1s2@1:CAIQACodChtycF9oOnJMUHRWMkdjTHI0djFISUswUG93RWc%7C%7C?hl=en", "View Link")</f>
        <v>View Link</v>
      </c>
      <c r="L649" s="3"/>
    </row>
    <row r="650" spans="1:12" ht="20" customHeight="1">
      <c r="A650" s="2"/>
      <c r="B650" s="2"/>
      <c r="C650" s="2"/>
      <c r="D650" s="2"/>
      <c r="E650" s="3"/>
      <c r="F650" s="4"/>
      <c r="G650" s="5" t="s">
        <v>2081</v>
      </c>
      <c r="H650" s="4">
        <v>1</v>
      </c>
      <c r="I650" s="2" t="s">
        <v>2082</v>
      </c>
      <c r="J650" s="4" t="s">
        <v>2083</v>
      </c>
      <c r="K650" s="3" t="str">
        <f>HYPERLINK("https://www.google.com/maps/reviews/data=!4m8!14m7!1m6!2m5!1sCi9DQUlRQUNvZENodHljRjlvT2s1T1RYVTFhbkJaVGpWNFgyOTVabTFJUkdKRFdXYxAB!2m1!1s0x0:0x2184fcd2909bb41e!3m1!1s2@1:CAIQACodChtycF9oOk5OTXU1anBZTjV4X295Zm1IRGJDWWc%7C%7C?hl=en", "View Link")</f>
        <v>View Link</v>
      </c>
      <c r="L650" s="3"/>
    </row>
    <row r="651" spans="1:12" ht="20" customHeight="1">
      <c r="A651" s="2"/>
      <c r="B651" s="2"/>
      <c r="C651" s="2"/>
      <c r="D651" s="2"/>
      <c r="E651" s="3"/>
      <c r="F651" s="4"/>
      <c r="G651" s="5" t="s">
        <v>2084</v>
      </c>
      <c r="H651" s="4">
        <v>1</v>
      </c>
      <c r="I651" s="2" t="s">
        <v>2085</v>
      </c>
      <c r="J651" s="4" t="s">
        <v>2086</v>
      </c>
      <c r="K651" s="3" t="str">
        <f>HYPERLINK("https://www.google.com/maps/reviews/data=!4m8!14m7!1m6!2m5!1sChdDSUhNMG9nS0VJQ0FnSURuNlphRmlRRRAB!2m1!1s0x0:0x2184fcd2909bb41e!3m1!1s2@1:CIHM0ogKEICAgIDn6ZaFiQE%7C%7C?hl=en", "View Link")</f>
        <v>View Link</v>
      </c>
      <c r="L651" s="3"/>
    </row>
    <row r="652" spans="1:12" ht="20" customHeight="1">
      <c r="A652" s="2"/>
      <c r="B652" s="2"/>
      <c r="C652" s="2"/>
      <c r="D652" s="2"/>
      <c r="E652" s="3"/>
      <c r="F652" s="4"/>
      <c r="G652" s="5" t="s">
        <v>2087</v>
      </c>
      <c r="H652" s="4">
        <v>1</v>
      </c>
      <c r="I652" s="2" t="s">
        <v>2088</v>
      </c>
      <c r="J652" s="4" t="s">
        <v>2089</v>
      </c>
      <c r="K652" s="3" t="str">
        <f>HYPERLINK("https://www.google.com/maps/reviews/data=!4m8!14m7!1m6!2m5!1sChZDSUhNMG9nS0VJQ0FnTURneWZEdVNBEAE!2m1!1s0x0:0x2184fcd2909bb41e!3m1!1s2@1:CIHM0ogKEICAgMDgyfDuSA%7C%7C?hl=en", "View Link")</f>
        <v>View Link</v>
      </c>
      <c r="L652" s="3"/>
    </row>
    <row r="653" spans="1:12" ht="20" customHeight="1">
      <c r="A653" s="2"/>
      <c r="B653" s="2"/>
      <c r="C653" s="2"/>
      <c r="D653" s="2"/>
      <c r="E653" s="3"/>
      <c r="F653" s="4"/>
      <c r="G653" s="5" t="s">
        <v>2090</v>
      </c>
      <c r="H653" s="4">
        <v>1</v>
      </c>
      <c r="I653" s="2" t="s">
        <v>2091</v>
      </c>
      <c r="J653" s="4" t="s">
        <v>2092</v>
      </c>
      <c r="K653" s="3" t="str">
        <f>HYPERLINK("https://www.google.com/maps/reviews/data=!4m8!14m7!1m6!2m5!1sChdDSUhNMG9nS0VJQ0FnSURMNmQ2NXhBRRAB!2m1!1s0x0:0x2184fcd2909bb41e!3m1!1s2@1:CIHM0ogKEICAgIDL6d65xAE%7C%7C?hl=en", "View Link")</f>
        <v>View Link</v>
      </c>
      <c r="L653" s="3"/>
    </row>
    <row r="654" spans="1:12" ht="20" customHeight="1">
      <c r="A654" s="2"/>
      <c r="B654" s="2"/>
      <c r="C654" s="2"/>
      <c r="D654" s="2"/>
      <c r="E654" s="3"/>
      <c r="F654" s="4"/>
      <c r="G654" s="5" t="s">
        <v>2093</v>
      </c>
      <c r="H654" s="4">
        <v>1</v>
      </c>
      <c r="I654" s="2" t="s">
        <v>2094</v>
      </c>
      <c r="J654" s="4" t="s">
        <v>2095</v>
      </c>
      <c r="K654" s="3" t="str">
        <f>HYPERLINK("https://www.google.com/maps/reviews/data=!4m8!14m7!1m6!2m5!1sChdDSUhNMG9nS0VLYjMyOWVwN00tbGxBRRAB!2m1!1s0x0:0x2184fcd2909bb41e!3m1!1s2@1:CIHM0ogKEKb329ep7M-llAE%7C%7C?hl=en", "View Link")</f>
        <v>View Link</v>
      </c>
      <c r="L654" s="3"/>
    </row>
    <row r="655" spans="1:12" ht="20" customHeight="1">
      <c r="A655" s="2"/>
      <c r="B655" s="2"/>
      <c r="C655" s="2"/>
      <c r="D655" s="2"/>
      <c r="E655" s="3"/>
      <c r="F655" s="4"/>
      <c r="G655" s="5" t="s">
        <v>2096</v>
      </c>
      <c r="H655" s="4">
        <v>1</v>
      </c>
      <c r="I655" s="2" t="s">
        <v>2097</v>
      </c>
      <c r="J655" s="4" t="s">
        <v>2098</v>
      </c>
      <c r="K655" s="3" t="str">
        <f>HYPERLINK("https://www.google.com/maps/reviews/data=!4m8!14m7!1m6!2m5!1sCi9DQUlRQUNvZENodHljRjlvT2xCRk5tMTJaVXA1VlZGS1ZYVkJhbFZyVTIxa1UyYxAB!2m1!1s0x0:0x2184fcd2909bb41e!3m1!1s2@1:CAIQACodChtycF9oOlBFNm12ZUp5VVFKVXVBalVrU21kU2c%7C%7C?hl=en", "View Link")</f>
        <v>View Link</v>
      </c>
      <c r="L655" s="3"/>
    </row>
    <row r="656" spans="1:12" ht="20" customHeight="1">
      <c r="A656" s="2"/>
      <c r="B656" s="2"/>
      <c r="C656" s="2"/>
      <c r="D656" s="2"/>
      <c r="E656" s="3"/>
      <c r="F656" s="4"/>
      <c r="G656" s="5" t="s">
        <v>2099</v>
      </c>
      <c r="H656" s="4">
        <v>1</v>
      </c>
      <c r="I656" s="2" t="s">
        <v>2100</v>
      </c>
      <c r="J656" s="4" t="s">
        <v>2101</v>
      </c>
      <c r="K656" s="3" t="str">
        <f>HYPERLINK("https://www.google.com/maps/reviews/data=!4m8!14m7!1m6!2m5!1sChZDSUhNMG9nS0VJQ0FnSURPdU9XWFZBEAE!2m1!1s0x0:0x2184fcd2909bb41e!3m1!1s2@1:CIHM0ogKEICAgIDOuOWXVA%7C%7C?hl=en", "View Link")</f>
        <v>View Link</v>
      </c>
      <c r="L656" s="3"/>
    </row>
    <row r="657" spans="1:12" ht="20" customHeight="1">
      <c r="A657" s="2"/>
      <c r="B657" s="2"/>
      <c r="C657" s="2"/>
      <c r="D657" s="2"/>
      <c r="E657" s="3"/>
      <c r="F657" s="4"/>
      <c r="G657" s="5" t="s">
        <v>2102</v>
      </c>
      <c r="H657" s="4">
        <v>1</v>
      </c>
      <c r="I657" s="2" t="s">
        <v>2103</v>
      </c>
      <c r="J657" s="4" t="s">
        <v>2104</v>
      </c>
      <c r="K657" s="3" t="str">
        <f>HYPERLINK("https://www.google.com/maps/reviews/data=!4m8!14m7!1m6!2m5!1sCi9DQUlRQUNvZENodHljRjlvT21oTVVFOXpMVUZGVEVWbVZreG5WbUpXY2xWUVkyYxAB!2m1!1s0x0:0x2184fcd2909bb41e!3m1!1s2@1:CAIQACodChtycF9oOmhMUE9zLUFFTEVmVkxnVmJWclVQY2c%7C%7C?hl=en", "View Link")</f>
        <v>View Link</v>
      </c>
      <c r="L657" s="3"/>
    </row>
    <row r="658" spans="1:12" ht="20" customHeight="1">
      <c r="A658" s="2" t="s">
        <v>2105</v>
      </c>
      <c r="B658" s="2" t="s">
        <v>2106</v>
      </c>
      <c r="C658" s="2" t="s">
        <v>2107</v>
      </c>
      <c r="D658" s="2" t="s">
        <v>2108</v>
      </c>
      <c r="E658" s="3">
        <f>HYPERLINK("https://360clinics.info/", "Visit Website")</f>
        <v>0</v>
      </c>
      <c r="F658" s="4">
        <v>3.6</v>
      </c>
      <c r="G658" s="5" t="s">
        <v>2109</v>
      </c>
      <c r="H658" s="4">
        <v>1</v>
      </c>
      <c r="I658" s="2" t="s">
        <v>2110</v>
      </c>
      <c r="J658" s="4" t="s">
        <v>2111</v>
      </c>
      <c r="K658" s="3" t="str">
        <f>HYPERLINK("https://www.google.com/maps/reviews/data=!4m8!14m7!1m6!2m5!1sCi9DQUlRQUNvZENodHljRjlvT2tOSmJFYzVMVEF3Ylc1bFYyTXhSVXhIWkdKd2QzYxAB!2m1!1s0x0:0xc2b277879545a5fd!3m1!1s2@1:CAIQACodChtycF9oOkNJbEc5LTAwbW5lV2MxRUxHZGJwd3c%7C%7C?hl=en", "View Link")</f>
        <v>View Link</v>
      </c>
      <c r="L658" s="3">
        <f>HYPERLINK("https://www.google.com/maps/search/?api=1&amp;query=360Clinics%20Ja%C3%A9n&amp;query_place_id=ChIJXaJjvHnXbQ0R_aVFlYd3ssI", "Open Map")</f>
        <v>0</v>
      </c>
    </row>
    <row r="659" spans="1:12" ht="20" customHeight="1">
      <c r="A659" s="2"/>
      <c r="B659" s="2"/>
      <c r="C659" s="2"/>
      <c r="D659" s="2"/>
      <c r="E659" s="3"/>
      <c r="F659" s="4"/>
      <c r="G659" s="5" t="s">
        <v>2112</v>
      </c>
      <c r="H659" s="4">
        <v>1</v>
      </c>
      <c r="I659" s="2" t="s">
        <v>2113</v>
      </c>
      <c r="J659" s="4" t="s">
        <v>2114</v>
      </c>
      <c r="K659" s="3" t="str">
        <f>HYPERLINK("https://www.google.com/maps/reviews/data=!4m8!14m7!1m6!2m5!1sCi9DQUlRQUNvZENodHljRjlvT200MGVISXpkVzFwYTA5cmVYRldUazVJTUVjME1YYxAB!2m1!1s0x0:0xc2b277879545a5fd!3m1!1s2@1:CAIQACodChtycF9oOm40eHIzdW1pa09reXFWTk5IMEc0MXc%7C%7C?hl=en", "View Link")</f>
        <v>View Link</v>
      </c>
      <c r="L659" s="3"/>
    </row>
    <row r="660" spans="1:12" ht="20" customHeight="1">
      <c r="A660" s="2"/>
      <c r="B660" s="2"/>
      <c r="C660" s="2"/>
      <c r="D660" s="2"/>
      <c r="E660" s="3"/>
      <c r="F660" s="4"/>
      <c r="G660" s="5" t="s">
        <v>2115</v>
      </c>
      <c r="H660" s="4">
        <v>1</v>
      </c>
      <c r="I660" s="2" t="s">
        <v>2116</v>
      </c>
      <c r="J660" s="4" t="s">
        <v>2117</v>
      </c>
      <c r="K660" s="3" t="str">
        <f>HYPERLINK("https://www.google.com/maps/reviews/data=!4m8!14m7!1m6!2m5!1sCi9DQUlRQUNvZENodHljRjlvT2xocFRVcEZkWFZwUzFSZmNVMTVRbkZaUmtRMlEzYxAB!2m1!1s0x0:0xc2b277879545a5fd!3m1!1s2@1:CAIQACodChtycF9oOlhpTUpFdXVpS1RfcU15QnFZRkQ2Q3c%7C%7C?hl=en", "View Link")</f>
        <v>View Link</v>
      </c>
      <c r="L660" s="3"/>
    </row>
    <row r="661" spans="1:12" ht="20" customHeight="1">
      <c r="A661" s="2"/>
      <c r="B661" s="2"/>
      <c r="C661" s="2"/>
      <c r="D661" s="2"/>
      <c r="E661" s="3"/>
      <c r="F661" s="4"/>
      <c r="G661" s="5" t="s">
        <v>2118</v>
      </c>
      <c r="H661" s="4">
        <v>1</v>
      </c>
      <c r="I661" s="2" t="s">
        <v>2119</v>
      </c>
      <c r="J661" s="4" t="s">
        <v>2120</v>
      </c>
      <c r="K661" s="3" t="str">
        <f>HYPERLINK("https://www.google.com/maps/reviews/data=!4m8!14m7!1m6!2m5!1sCi9DQUlRQUNvZENodHljRjlvT2pRd01YRkJRV1ZmYldaaFptTnZRbHBtY25CMWVuYxAB!2m1!1s0x0:0xc2b277879545a5fd!3m1!1s2@1:CAIQACodChtycF9oOjQwMXFBQWVfbWZhZmNvQlpmcnB1enc%7C%7C?hl=en", "View Link")</f>
        <v>View Link</v>
      </c>
      <c r="L661" s="3"/>
    </row>
    <row r="662" spans="1:12" ht="20" customHeight="1">
      <c r="A662" s="2"/>
      <c r="B662" s="2"/>
      <c r="C662" s="2"/>
      <c r="D662" s="2"/>
      <c r="E662" s="3"/>
      <c r="F662" s="4"/>
      <c r="G662" s="5" t="s">
        <v>2121</v>
      </c>
      <c r="H662" s="4">
        <v>1</v>
      </c>
      <c r="I662" s="2" t="s">
        <v>2122</v>
      </c>
      <c r="J662" s="4" t="s">
        <v>2123</v>
      </c>
      <c r="K662" s="3" t="str">
        <f>HYPERLINK("https://www.google.com/maps/reviews/data=!4m8!14m7!1m6!2m5!1sCi9DQUlRQUNvZENodHljRjlvT25oRlVsOWthMnhqWmw5bmFsbFljekJMWWxKekxVRRAB!2m1!1s0x0:0xc2b277879545a5fd!3m1!1s2@1:CAIQACodChtycF9oOnhFUl9ka2xjZl9nallYczBLYlJzLUE%7C%7C?hl=en", "View Link")</f>
        <v>View Link</v>
      </c>
      <c r="L662" s="3"/>
    </row>
    <row r="663" spans="1:12" ht="20" customHeight="1">
      <c r="A663" s="2"/>
      <c r="B663" s="2"/>
      <c r="C663" s="2"/>
      <c r="D663" s="2"/>
      <c r="E663" s="3"/>
      <c r="F663" s="4"/>
      <c r="G663" s="5" t="s">
        <v>2124</v>
      </c>
      <c r="H663" s="4">
        <v>1</v>
      </c>
      <c r="I663" s="2" t="s">
        <v>2125</v>
      </c>
      <c r="J663" s="4" t="s">
        <v>2126</v>
      </c>
      <c r="K663" s="3" t="str">
        <f>HYPERLINK("https://www.google.com/maps/reviews/data=!4m8!14m7!1m6!2m5!1sCi9DQUlRQUNvZENodHljRjlvT21wa2VERlFNa2RhZEVFM04xRlNObVZpVDFGelVYYxAB!2m1!1s0x0:0xc2b277879545a5fd!3m1!1s2@1:CAIQACodChtycF9oOmpkeDFQMkdadEE3N1FSNmViT1FzUXc%7C%7C?hl=en", "View Link")</f>
        <v>View Link</v>
      </c>
      <c r="L663" s="3"/>
    </row>
    <row r="664" spans="1:12" ht="20" customHeight="1">
      <c r="A664" s="2"/>
      <c r="B664" s="2"/>
      <c r="C664" s="2"/>
      <c r="D664" s="2"/>
      <c r="E664" s="3"/>
      <c r="F664" s="4"/>
      <c r="G664" s="5" t="s">
        <v>2127</v>
      </c>
      <c r="H664" s="4">
        <v>1</v>
      </c>
      <c r="I664" s="2" t="s">
        <v>2128</v>
      </c>
      <c r="J664" s="4" t="s">
        <v>2129</v>
      </c>
      <c r="K664" s="3" t="str">
        <f>HYPERLINK("https://www.google.com/maps/reviews/data=!4m8!14m7!1m6!2m5!1sCi9DQUlRQUNvZENodHljRjlvT2t0WVdHbHlaV3BzYTNkM2ExUkVheTFLWVVwQlFrRRAB!2m1!1s0x0:0xc2b277879545a5fd!3m1!1s2@1:CAIQACodChtycF9oOktYWGlyZWpsa3d3a1REay1KYUpBQkE%7C%7C?hl=en", "View Link")</f>
        <v>View Link</v>
      </c>
      <c r="L664" s="3"/>
    </row>
    <row r="665" spans="1:12" ht="20" customHeight="1">
      <c r="A665" s="2"/>
      <c r="B665" s="2"/>
      <c r="C665" s="2"/>
      <c r="D665" s="2"/>
      <c r="E665" s="3"/>
      <c r="F665" s="4"/>
      <c r="G665" s="5" t="s">
        <v>2130</v>
      </c>
      <c r="H665" s="4">
        <v>1</v>
      </c>
      <c r="I665" s="2" t="s">
        <v>2131</v>
      </c>
      <c r="J665" s="4" t="s">
        <v>2132</v>
      </c>
      <c r="K665" s="3" t="str">
        <f>HYPERLINK("https://www.google.com/maps/reviews/data=!4m8!14m7!1m6!2m5!1sCi9DQUlRQUNvZENodHljRjlvT25oeFUyOUhSemhXUlVKNU1qUmxTbXM1Tkc4MWVXYxAB!2m1!1s0x0:0xc2b277879545a5fd!3m1!1s2@1:CAIQACodChtycF9oOnhxU29HRzhWRUJ5MjRlSms5NG81eWc%7C%7C?hl=en", "View Link")</f>
        <v>View Link</v>
      </c>
      <c r="L665" s="3"/>
    </row>
    <row r="666" spans="1:12" ht="20" customHeight="1">
      <c r="A666" s="2"/>
      <c r="B666" s="2"/>
      <c r="C666" s="2"/>
      <c r="D666" s="2"/>
      <c r="E666" s="3"/>
      <c r="F666" s="4"/>
      <c r="G666" s="5" t="s">
        <v>2133</v>
      </c>
      <c r="H666" s="4">
        <v>1</v>
      </c>
      <c r="I666" s="2" t="s">
        <v>2134</v>
      </c>
      <c r="J666" s="4" t="s">
        <v>2135</v>
      </c>
      <c r="K666" s="3" t="str">
        <f>HYPERLINK("https://www.google.com/maps/reviews/data=!4m8!14m7!1m6!2m5!1sCi9DQUlRQUNvZENodHljRjlvT2twelJIVTRja2hOV0ZBd1dHSTRlRlJrUjJGcWRXYxAB!2m1!1s0x0:0xc2b277879545a5fd!3m1!1s2@1:CAIQACodChtycF9oOkpzRHU4ckhNWFAwWGI4eFRkR2FqdWc%7C%7C?hl=en", "View Link")</f>
        <v>View Link</v>
      </c>
      <c r="L666" s="3"/>
    </row>
    <row r="667" spans="1:12" ht="20" customHeight="1">
      <c r="A667" s="2"/>
      <c r="B667" s="2"/>
      <c r="C667" s="2"/>
      <c r="D667" s="2"/>
      <c r="E667" s="3"/>
      <c r="F667" s="4"/>
      <c r="G667" s="5" t="s">
        <v>2136</v>
      </c>
      <c r="H667" s="4">
        <v>1</v>
      </c>
      <c r="I667" s="2" t="s">
        <v>2137</v>
      </c>
      <c r="J667" s="4" t="s">
        <v>2138</v>
      </c>
      <c r="K667" s="3" t="str">
        <f>HYPERLINK("https://www.google.com/maps/reviews/data=!4m8!14m7!1m6!2m5!1sCi9DQUlRQUNvZENodHljRjlvT2pFNE1VWTBWVkJEU2twVVkwTkNTRU5XZVVJeU5uYxAB!2m1!1s0x0:0xc2b277879545a5fd!3m1!1s2@1:CAIQACodChtycF9oOjE4MUY0VVBDSkpUY0NCSENWeUIyNnc%7C%7C?hl=en", "View Link")</f>
        <v>View Link</v>
      </c>
      <c r="L667" s="3"/>
    </row>
    <row r="668" spans="1:12" ht="20" customHeight="1">
      <c r="A668" s="2"/>
      <c r="B668" s="2"/>
      <c r="C668" s="2"/>
      <c r="D668" s="2"/>
      <c r="E668" s="3"/>
      <c r="F668" s="4"/>
      <c r="G668" s="5" t="s">
        <v>2139</v>
      </c>
      <c r="H668" s="4">
        <v>1</v>
      </c>
      <c r="I668" s="2" t="s">
        <v>2140</v>
      </c>
      <c r="J668" s="4" t="s">
        <v>2141</v>
      </c>
      <c r="K668" s="3" t="str">
        <f>HYPERLINK("https://www.google.com/maps/reviews/data=!4m8!14m7!1m6!2m5!1sCi9DQUlRQUNvZENodHljRjlvT21wNFJHRnJkV1JWYTNweVpVbG5XRjlZVUZCTVZrRRAB!2m1!1s0x0:0xc2b277879545a5fd!3m1!1s2@1:CAIQACodChtycF9oOmp4RGFrdWRVa3pyZUlnWF9YUFBMVkE%7C%7C?hl=en", "View Link")</f>
        <v>View Link</v>
      </c>
      <c r="L668" s="3"/>
    </row>
    <row r="669" spans="1:12" ht="20" customHeight="1">
      <c r="A669" s="2"/>
      <c r="B669" s="2"/>
      <c r="C669" s="2"/>
      <c r="D669" s="2"/>
      <c r="E669" s="3"/>
      <c r="F669" s="4"/>
      <c r="G669" s="5" t="s">
        <v>2142</v>
      </c>
      <c r="H669" s="4">
        <v>1</v>
      </c>
      <c r="I669" s="2" t="s">
        <v>2143</v>
      </c>
      <c r="J669" s="4" t="s">
        <v>2144</v>
      </c>
      <c r="K669" s="3" t="str">
        <f>HYPERLINK("https://www.google.com/maps/reviews/data=!4m8!14m7!1m6!2m5!1sCi9DQUlRQUNvZENodHljRjlvT2xBemRqRlZXbk5vTFZNMmQxVXRhVXQ0WmxCVWRVRRAB!2m1!1s0x0:0xc2b277879545a5fd!3m1!1s2@1:CAIQACodChtycF9oOlAzdjFVWnNoLVM2d1UtaUt4ZlBUdUE%7C%7C?hl=en", "View Link")</f>
        <v>View Link</v>
      </c>
      <c r="L669" s="3"/>
    </row>
    <row r="670" spans="1:12" ht="20" customHeight="1">
      <c r="A670" s="2"/>
      <c r="B670" s="2"/>
      <c r="C670" s="2"/>
      <c r="D670" s="2"/>
      <c r="E670" s="3"/>
      <c r="F670" s="4"/>
      <c r="G670" s="5" t="s">
        <v>2145</v>
      </c>
      <c r="H670" s="4">
        <v>1</v>
      </c>
      <c r="I670" s="2" t="s">
        <v>2146</v>
      </c>
      <c r="J670" s="4" t="s">
        <v>2147</v>
      </c>
      <c r="K670" s="3" t="str">
        <f>HYPERLINK("https://www.google.com/maps/reviews/data=!4m8!14m7!1m6!2m5!1sCi9DQUlRQUNvZENodHljRjlvT2xWMlFUTlRWblJzYUVoVllXbGlSRWxRUTFVNU9FRRAB!2m1!1s0x0:0xc2b277879545a5fd!3m1!1s2@1:CAIQACodChtycF9oOlV2QTNTVnRsaEhVYWliRElQQ1U5OEE%7C%7C?hl=en", "View Link")</f>
        <v>View Link</v>
      </c>
      <c r="L670" s="3"/>
    </row>
    <row r="671" spans="1:12" ht="20" customHeight="1">
      <c r="A671" s="2"/>
      <c r="B671" s="2"/>
      <c r="C671" s="2"/>
      <c r="D671" s="2"/>
      <c r="E671" s="3"/>
      <c r="F671" s="4"/>
      <c r="G671" s="5" t="s">
        <v>2148</v>
      </c>
      <c r="H671" s="4">
        <v>1</v>
      </c>
      <c r="I671" s="2" t="s">
        <v>2149</v>
      </c>
      <c r="J671" s="4" t="s">
        <v>2150</v>
      </c>
      <c r="K671" s="3" t="str">
        <f>HYPERLINK("https://www.google.com/maps/reviews/data=!4m8!14m7!1m6!2m5!1sCi9DQUlRQUNvZENodHljRjlvT25wRWVHNVlWVXR5TVhsYVZqUm1kekp2Vms1UFRFRRAB!2m1!1s0x0:0xc2b277879545a5fd!3m1!1s2@1:CAIQACodChtycF9oOnpEeG5YVUtyMXlaVjRmdzJvVk5PTEE%7C%7C?hl=en", "View Link")</f>
        <v>View Link</v>
      </c>
      <c r="L671" s="3"/>
    </row>
    <row r="672" spans="1:12" ht="20" customHeight="1">
      <c r="A672" s="2"/>
      <c r="B672" s="2"/>
      <c r="C672" s="2"/>
      <c r="D672" s="2"/>
      <c r="E672" s="3"/>
      <c r="F672" s="4"/>
      <c r="G672" s="5" t="s">
        <v>2151</v>
      </c>
      <c r="H672" s="4">
        <v>1</v>
      </c>
      <c r="I672" s="2" t="s">
        <v>2152</v>
      </c>
      <c r="J672" s="4" t="s">
        <v>2153</v>
      </c>
      <c r="K672" s="3" t="str">
        <f>HYPERLINK("https://www.google.com/maps/reviews/data=!4m8!14m7!1m6!2m5!1sCi9DQUlRQUNvZENodHljRjlvT2xadk1WVnNhVXBQVVdVNVEwUmxSVFo0VTNGT2JVRRAB!2m1!1s0x0:0xc2b277879545a5fd!3m1!1s2@1:CAIQACodChtycF9oOlZvMVVsaUpPUWU5Q0RlRTZ4U3FObUE%7C%7C?hl=en", "View Link")</f>
        <v>View Link</v>
      </c>
      <c r="L672" s="3"/>
    </row>
    <row r="673" spans="1:12" ht="20" customHeight="1">
      <c r="A673" s="2"/>
      <c r="B673" s="2"/>
      <c r="C673" s="2"/>
      <c r="D673" s="2"/>
      <c r="E673" s="3"/>
      <c r="F673" s="4"/>
      <c r="G673" s="5" t="s">
        <v>2154</v>
      </c>
      <c r="H673" s="4">
        <v>1</v>
      </c>
      <c r="I673" s="2" t="s">
        <v>2155</v>
      </c>
      <c r="J673" s="4" t="s">
        <v>2156</v>
      </c>
      <c r="K673" s="3" t="str">
        <f>HYPERLINK("https://www.google.com/maps/reviews/data=!4m8!14m7!1m6!2m5!1sCi9DQUlRQUNvZENodHljRjlvT2pKWlFtaHVaVkJLU1ROZllUbDFhbWxUVmxKMlQzYxAB!2m1!1s0x0:0xc2b277879545a5fd!3m1!1s2@1:CAIQACodChtycF9oOjJZQmhuZVBKSTNfYTl1amlTVlJ2T3c%7C%7C?hl=en", "View Link")</f>
        <v>View Link</v>
      </c>
      <c r="L673" s="3"/>
    </row>
    <row r="674" spans="1:12" ht="20" customHeight="1">
      <c r="A674" s="2"/>
      <c r="B674" s="2"/>
      <c r="C674" s="2"/>
      <c r="D674" s="2"/>
      <c r="E674" s="3"/>
      <c r="F674" s="4"/>
      <c r="G674" s="5" t="s">
        <v>2157</v>
      </c>
      <c r="H674" s="4">
        <v>1</v>
      </c>
      <c r="I674" s="2" t="s">
        <v>2158</v>
      </c>
      <c r="J674" s="4" t="s">
        <v>2159</v>
      </c>
      <c r="K674" s="3" t="str">
        <f>HYPERLINK("https://www.google.com/maps/reviews/data=!4m8!14m7!1m6!2m5!1sCi9DQUlRQUNvZENodHljRjlvT2pnNU4yRklVR05aTW1nMWIzSXdZa1l3WDFSM1ltYxAB!2m1!1s0x0:0xc2b277879545a5fd!3m1!1s2@1:CAIQACodChtycF9oOjg5N2FIUGNZMmg1b3IwYkYwX1R3Ymc%7C%7C?hl=en", "View Link")</f>
        <v>View Link</v>
      </c>
      <c r="L674" s="3"/>
    </row>
    <row r="675" spans="1:12" ht="20" customHeight="1">
      <c r="A675" s="2"/>
      <c r="B675" s="2"/>
      <c r="C675" s="2"/>
      <c r="D675" s="2"/>
      <c r="E675" s="3"/>
      <c r="F675" s="4"/>
      <c r="G675" s="5" t="s">
        <v>2160</v>
      </c>
      <c r="H675" s="4">
        <v>1</v>
      </c>
      <c r="I675" s="2" t="s">
        <v>2161</v>
      </c>
      <c r="J675" s="4" t="s">
        <v>2162</v>
      </c>
      <c r="K675" s="3" t="str">
        <f>HYPERLINK("https://www.google.com/maps/reviews/data=!4m8!14m7!1m6!2m5!1sCi9DQUlRQUNvZENodHljRjlvT2sxMVUzUmpTRTVWUzFad2RsTmxWSGR6YURoTVRsRRAB!2m1!1s0x0:0xc2b277879545a5fd!3m1!1s2@1:CAIQACodChtycF9oOk11U3RjSE5VS1ZwdlNlVHdzaDhMTlE%7C%7C?hl=en", "View Link")</f>
        <v>View Link</v>
      </c>
      <c r="L675" s="3"/>
    </row>
    <row r="676" spans="1:12" ht="20" customHeight="1">
      <c r="A676" s="2"/>
      <c r="B676" s="2"/>
      <c r="C676" s="2"/>
      <c r="D676" s="2"/>
      <c r="E676" s="3"/>
      <c r="F676" s="4"/>
      <c r="G676" s="5" t="s">
        <v>2163</v>
      </c>
      <c r="H676" s="4">
        <v>1</v>
      </c>
      <c r="I676" s="2" t="s">
        <v>2164</v>
      </c>
      <c r="J676" s="4" t="s">
        <v>2165</v>
      </c>
      <c r="K676" s="3" t="str">
        <f>HYPERLINK("https://www.google.com/maps/reviews/data=!4m8!14m7!1m6!2m5!1sCi9DQUlRQUNvZENodHljRjlvT25CZlFtWlFNVkZyVkZKU2RscGxiV2RpY1dwRkxVRRAB!2m1!1s0x0:0xc2b277879545a5fd!3m1!1s2@1:CAIQACodChtycF9oOnBfQmZQMVFrVFJSdlplbWdicWpFLUE%7C%7C?hl=en", "View Link")</f>
        <v>View Link</v>
      </c>
      <c r="L676" s="3"/>
    </row>
    <row r="677" spans="1:12" ht="20" customHeight="1">
      <c r="A677" s="2"/>
      <c r="B677" s="2"/>
      <c r="C677" s="2"/>
      <c r="D677" s="2"/>
      <c r="E677" s="3"/>
      <c r="F677" s="4"/>
      <c r="G677" s="5" t="s">
        <v>2166</v>
      </c>
      <c r="H677" s="4">
        <v>1</v>
      </c>
      <c r="I677" s="2" t="s">
        <v>2167</v>
      </c>
      <c r="J677" s="4" t="s">
        <v>2168</v>
      </c>
      <c r="K677" s="3" t="str">
        <f>HYPERLINK("https://www.google.com/maps/reviews/data=!4m8!14m7!1m6!2m5!1sCi9DQUlRQUNvZENodHljRjlvT2xGVkxVUjVjUzEwTkRKWU5EUnNNMjF1U0VscVNWRRAB!2m1!1s0x0:0xc2b277879545a5fd!3m1!1s2@1:CAIQACodChtycF9oOlFVLUR5cS10NDJYNDRsM21uSElqSVE%7C%7C?hl=en", "View Link")</f>
        <v>View Link</v>
      </c>
      <c r="L677" s="3"/>
    </row>
    <row r="678" spans="1:12" ht="20" customHeight="1">
      <c r="A678" s="2" t="s">
        <v>2169</v>
      </c>
      <c r="B678" s="2" t="s">
        <v>2170</v>
      </c>
      <c r="C678" s="2" t="s">
        <v>89</v>
      </c>
      <c r="D678" s="2" t="s">
        <v>2171</v>
      </c>
      <c r="E678" s="3">
        <f>HYPERLINK("https://www.doctoralia.es/ma-engracia-campo-virgili/dermatologo-dermatologo-infantil/barbastro?utm_source=google&amp;utm_medium=gmb&amp;utm_campaign=85819&amp;utm_content=website", "Visit Website")</f>
        <v>0</v>
      </c>
      <c r="F678" s="4">
        <v>3.3</v>
      </c>
      <c r="G678" s="5" t="s">
        <v>2172</v>
      </c>
      <c r="H678" s="4">
        <v>1</v>
      </c>
      <c r="I678" s="2" t="s">
        <v>2173</v>
      </c>
      <c r="J678" s="4" t="s">
        <v>2174</v>
      </c>
      <c r="K678" s="3" t="str">
        <f>HYPERLINK("https://www.google.com/maps/reviews/data=!4m8!14m7!1m6!2m5!1sChdDSUhNMG9nS0VJQ0FnTURnMmF6dnlBRRAB!2m1!1s0x0:0xd18a5590e303af34!3m1!1s2@1:CIHM0ogKEICAgMDg2azvyAE%7C%7C?hl=en", "View Link")</f>
        <v>View Link</v>
      </c>
      <c r="L678" s="3">
        <f>HYPERLINK("https://www.google.com/maps/search/?api=1&amp;query=Dra.%20M%C2%AA%20Engracia%20Campo%20Virgili%2C%20Dermat%C3%B3logo&amp;query_place_id=ChIJu8EHIflFWA0RNK8D45BVitE", "Open Map")</f>
        <v>0</v>
      </c>
    </row>
    <row r="679" spans="1:12" ht="20" customHeight="1">
      <c r="A679" s="2"/>
      <c r="B679" s="2"/>
      <c r="C679" s="2"/>
      <c r="D679" s="2"/>
      <c r="E679" s="3"/>
      <c r="F679" s="4"/>
      <c r="G679" s="5" t="s">
        <v>2175</v>
      </c>
      <c r="H679" s="4">
        <v>1</v>
      </c>
      <c r="I679" s="2" t="s">
        <v>2176</v>
      </c>
      <c r="J679" s="4" t="s">
        <v>2177</v>
      </c>
      <c r="K679" s="3" t="str">
        <f>HYPERLINK("https://www.google.com/maps/reviews/data=!4m8!14m7!1m6!2m5!1sCi9DQUlRQUNvZENodHljRjlvT21sSWFESk5ObXR4VWswdFdFWmtTbWgzV0RZeVlsRRAB!2m1!1s0x0:0xd18a5590e303af34!3m1!1s2@1:CAIQACodChtycF9oOmlIaDJNNmtxUk0tWEZkSmh3WDYyYlE%7C%7C?hl=en", "View Link")</f>
        <v>View Link</v>
      </c>
      <c r="L679" s="3"/>
    </row>
    <row r="680" spans="1:12" ht="20" customHeight="1">
      <c r="A680" s="2"/>
      <c r="B680" s="2"/>
      <c r="C680" s="2"/>
      <c r="D680" s="2"/>
      <c r="E680" s="3"/>
      <c r="F680" s="4"/>
      <c r="G680" s="5" t="s">
        <v>2178</v>
      </c>
      <c r="H680" s="4">
        <v>1</v>
      </c>
      <c r="I680" s="2" t="s">
        <v>2179</v>
      </c>
      <c r="J680" s="4" t="s">
        <v>2180</v>
      </c>
      <c r="K680" s="3" t="str">
        <f>HYPERLINK("https://www.google.com/maps/reviews/data=!4m8!14m7!1m6!2m5!1sChZDSUhNMG9nS0VJQ0FnSURadE9PR0dREAE!2m1!1s0x0:0xd18a5590e303af34!3m1!1s2@1:CIHM0ogKEICAgIDZtOOGGQ%7C%7C?hl=en", "View Link")</f>
        <v>View Link</v>
      </c>
      <c r="L680" s="3"/>
    </row>
    <row r="681" spans="1:12" ht="20" customHeight="1">
      <c r="A681" s="2"/>
      <c r="B681" s="2"/>
      <c r="C681" s="2"/>
      <c r="D681" s="2"/>
      <c r="E681" s="3"/>
      <c r="F681" s="4"/>
      <c r="G681" s="5" t="s">
        <v>2181</v>
      </c>
      <c r="H681" s="4">
        <v>1</v>
      </c>
      <c r="I681" s="2" t="s">
        <v>2182</v>
      </c>
      <c r="J681" s="4" t="s">
        <v>2183</v>
      </c>
      <c r="K681" s="3" t="str">
        <f>HYPERLINK("https://www.google.com/maps/reviews/data=!4m8!14m7!1m6!2m5!1sChdDSUhNMG9nS0VJQ0FnSUNsbU9PT3p3RRAB!2m1!1s0x0:0xd18a5590e303af34!3m1!1s2@1:CIHM0ogKEICAgIClmOOOzwE%7C%7C?hl=en", "View Link")</f>
        <v>View Link</v>
      </c>
      <c r="L681" s="3"/>
    </row>
    <row r="682" spans="1:12" ht="20" customHeight="1">
      <c r="A682" s="2"/>
      <c r="B682" s="2"/>
      <c r="C682" s="2"/>
      <c r="D682" s="2"/>
      <c r="E682" s="3"/>
      <c r="F682" s="4"/>
      <c r="G682" s="5" t="s">
        <v>2184</v>
      </c>
      <c r="H682" s="4">
        <v>1</v>
      </c>
      <c r="I682" s="2" t="s">
        <v>2185</v>
      </c>
      <c r="J682" s="4" t="s">
        <v>2186</v>
      </c>
      <c r="K682" s="3" t="str">
        <f>HYPERLINK("https://www.google.com/maps/reviews/data=!4m8!14m7!1m6!2m5!1sChZDSUhNMG9nS0VJQ0FnSURobU82R0tREAE!2m1!1s0x0:0xd18a5590e303af34!3m1!1s2@1:CIHM0ogKEICAgIDhmO6GKQ%7C%7C?hl=en", "View Link")</f>
        <v>View Link</v>
      </c>
      <c r="L682" s="3"/>
    </row>
    <row r="683" spans="1:12" ht="20" customHeight="1">
      <c r="A683" s="2"/>
      <c r="B683" s="2"/>
      <c r="C683" s="2"/>
      <c r="D683" s="2"/>
      <c r="E683" s="3"/>
      <c r="F683" s="4"/>
      <c r="G683" s="5" t="s">
        <v>2187</v>
      </c>
      <c r="H683" s="4">
        <v>1</v>
      </c>
      <c r="I683" s="2" t="s">
        <v>2188</v>
      </c>
      <c r="J683" s="4" t="s">
        <v>2189</v>
      </c>
      <c r="K683" s="3" t="str">
        <f>HYPERLINK("https://www.google.com/maps/reviews/data=!4m8!14m7!1m6!2m5!1sChRDSUhNMG9nS0VJQ0FnSURhMHZKVhAB!2m1!1s0x0:0xd18a5590e303af34!3m1!1s2@1:CIHM0ogKEICAgIDa0vJV%7C%7C?hl=en", "View Link")</f>
        <v>View Link</v>
      </c>
      <c r="L683" s="3"/>
    </row>
    <row r="684" spans="1:12" ht="20" customHeight="1">
      <c r="A684" s="2" t="s">
        <v>2190</v>
      </c>
      <c r="B684" s="2" t="s">
        <v>2191</v>
      </c>
      <c r="C684" s="2" t="s">
        <v>2192</v>
      </c>
      <c r="D684" s="2" t="s">
        <v>2193</v>
      </c>
      <c r="E684" s="3">
        <f>HYPERLINK("https://clinica-silva.com/", "Visit Website")</f>
        <v>0</v>
      </c>
      <c r="F684" s="4">
        <v>4.4</v>
      </c>
      <c r="G684" s="5" t="s">
        <v>2194</v>
      </c>
      <c r="H684" s="4">
        <v>1</v>
      </c>
      <c r="I684" s="2" t="s">
        <v>2195</v>
      </c>
      <c r="J684" s="4" t="s">
        <v>2196</v>
      </c>
      <c r="K684" s="3" t="str">
        <f>HYPERLINK("https://www.google.com/maps/reviews/data=!4m8!14m7!1m6!2m5!1sCi9DQUlRQUNvZENodHljRjlvT21ka2RXUTNSVFZmV21KamFXTXphSHBVVUUwM1pXYxAB!2m1!1s0x0:0x103f16a0f7989455!3m1!1s2@1:CAIQACodChtycF9oOmdkdWQ3RTVfWmJjaWMzaHpUUE03ZWc%7C%7C?hl=en", "View Link")</f>
        <v>View Link</v>
      </c>
      <c r="L684" s="3">
        <f>HYPERLINK("https://www.google.com/maps/search/?api=1&amp;query=Cl%C3%ADnica%20Dermatol%C3%B3gica%20Dr.Dom%C3%ADnguez%20Silva&amp;query_place_id=ChIJfTxAjJuVQAwRVZSY96AWPxA", "Open Map")</f>
        <v>0</v>
      </c>
    </row>
    <row r="685" spans="1:12" ht="20" customHeight="1">
      <c r="A685" s="2"/>
      <c r="B685" s="2"/>
      <c r="C685" s="2"/>
      <c r="D685" s="2"/>
      <c r="E685" s="3"/>
      <c r="F685" s="4"/>
      <c r="G685" s="5" t="s">
        <v>2197</v>
      </c>
      <c r="H685" s="4">
        <v>1</v>
      </c>
      <c r="I685" s="2" t="s">
        <v>2198</v>
      </c>
      <c r="J685" s="4" t="s">
        <v>2199</v>
      </c>
      <c r="K685" s="3" t="str">
        <f>HYPERLINK("https://www.google.com/maps/reviews/data=!4m8!14m7!1m6!2m5!1sCi9DQUlRQUNvZENodHljRjlvT25Jd2NVZE5SRlJNZWs5VVpXaHZlamRSTmpaVVZsRRAB!2m1!1s0x0:0x103f16a0f7989455!3m1!1s2@1:CAIQACodChtycF9oOnIwcUdNRFRMek9UZWhvejdRNjZUVlE%7C%7C?hl=en", "View Link")</f>
        <v>View Link</v>
      </c>
      <c r="L685" s="3"/>
    </row>
    <row r="686" spans="1:12" ht="20" customHeight="1">
      <c r="A686" s="2"/>
      <c r="B686" s="2"/>
      <c r="C686" s="2"/>
      <c r="D686" s="2"/>
      <c r="E686" s="3"/>
      <c r="F686" s="4"/>
      <c r="G686" s="5" t="s">
        <v>2200</v>
      </c>
      <c r="H686" s="4">
        <v>1</v>
      </c>
      <c r="I686" s="2" t="s">
        <v>2201</v>
      </c>
      <c r="J686" s="4" t="s">
        <v>2202</v>
      </c>
      <c r="K686" s="3" t="str">
        <f>HYPERLINK("https://www.google.com/maps/reviews/data=!4m8!14m7!1m6!2m5!1sChZDSUhNMG9nS0VJQ0FnSUNLanZMMVJREAE!2m1!1s0x0:0x103f16a0f7989455!3m1!1s2@1:CIHM0ogKEICAgICKjvL1RQ%7C%7C?hl=en", "View Link")</f>
        <v>View Link</v>
      </c>
      <c r="L686" s="3"/>
    </row>
    <row r="687" spans="1:12" ht="20" customHeight="1">
      <c r="A687" s="2"/>
      <c r="B687" s="2"/>
      <c r="C687" s="2"/>
      <c r="D687" s="2"/>
      <c r="E687" s="3"/>
      <c r="F687" s="4"/>
      <c r="G687" s="5" t="s">
        <v>2203</v>
      </c>
      <c r="H687" s="4">
        <v>1</v>
      </c>
      <c r="I687" s="2" t="s">
        <v>2204</v>
      </c>
      <c r="J687" s="4" t="s">
        <v>2205</v>
      </c>
      <c r="K687" s="3" t="str">
        <f>HYPERLINK("https://www.google.com/maps/reviews/data=!4m8!14m7!1m6!2m5!1sChdDSUhNMG9nS0VJQ0FnSURPX29lcW9RRRAB!2m1!1s0x0:0x103f16a0f7989455!3m1!1s2@1:CIHM0ogKEICAgIDO_oeqoQE%7C%7C?hl=en", "View Link")</f>
        <v>View Link</v>
      </c>
      <c r="L687" s="3"/>
    </row>
    <row r="688" spans="1:12" ht="20" customHeight="1">
      <c r="A688" s="2"/>
      <c r="B688" s="2"/>
      <c r="C688" s="2"/>
      <c r="D688" s="2"/>
      <c r="E688" s="3"/>
      <c r="F688" s="4"/>
      <c r="G688" s="5" t="s">
        <v>2206</v>
      </c>
      <c r="H688" s="4">
        <v>2</v>
      </c>
      <c r="I688" s="2" t="s">
        <v>2207</v>
      </c>
      <c r="J688" s="4" t="s">
        <v>2208</v>
      </c>
      <c r="K688" s="3" t="str">
        <f>HYPERLINK("https://www.google.com/maps/reviews/data=!4m8!14m7!1m6!2m5!1sChdDSUhNMG9nS0VJQ0FnSUN6Z0x5RnFRRRAB!2m1!1s0x0:0x103f16a0f7989455!3m1!1s2@1:CIHM0ogKEICAgICzgLyFqQE%7C%7C?hl=en", "View Link")</f>
        <v>View Link</v>
      </c>
      <c r="L688" s="3"/>
    </row>
    <row r="689" spans="1:12" ht="20" customHeight="1">
      <c r="A689" s="2"/>
      <c r="B689" s="2"/>
      <c r="C689" s="2"/>
      <c r="D689" s="2"/>
      <c r="E689" s="3"/>
      <c r="F689" s="4"/>
      <c r="G689" s="5" t="s">
        <v>2209</v>
      </c>
      <c r="H689" s="4">
        <v>2</v>
      </c>
      <c r="I689" s="2" t="s">
        <v>2210</v>
      </c>
      <c r="J689" s="4" t="s">
        <v>2211</v>
      </c>
      <c r="K689" s="3" t="str">
        <f>HYPERLINK("https://www.google.com/maps/reviews/data=!4m8!14m7!1m6!2m5!1sChZDSUhNMG9nS0VJQ0FnSURJc2R5QkJ3EAE!2m1!1s0x0:0x103f16a0f7989455!3m1!1s2@1:CIHM0ogKEICAgIDIsdyBBw%7C%7C?hl=en", "View Link")</f>
        <v>View Link</v>
      </c>
      <c r="L689" s="3"/>
    </row>
    <row r="690" spans="1:12" ht="20" customHeight="1">
      <c r="A690" s="2"/>
      <c r="B690" s="2"/>
      <c r="C690" s="2"/>
      <c r="D690" s="2"/>
      <c r="E690" s="3"/>
      <c r="F690" s="4"/>
      <c r="G690" s="5" t="s">
        <v>2212</v>
      </c>
      <c r="H690" s="4">
        <v>2</v>
      </c>
      <c r="I690" s="2" t="s">
        <v>2213</v>
      </c>
      <c r="J690" s="4" t="s">
        <v>2214</v>
      </c>
      <c r="K690" s="3" t="str">
        <f>HYPERLINK("https://www.google.com/maps/reviews/data=!4m8!14m7!1m6!2m5!1sChZDSUhNMG9nS0VJQ0FnSUMwNG9QSk5BEAE!2m1!1s0x0:0x103f16a0f7989455!3m1!1s2@1:CIHM0ogKEICAgIC04oPJNA%7C%7C?hl=en", "View Link")</f>
        <v>View Link</v>
      </c>
      <c r="L690" s="3"/>
    </row>
    <row r="691" spans="1:12" ht="20" customHeight="1">
      <c r="A691" s="5" t="s">
        <v>2215</v>
      </c>
      <c r="B691" s="5" t="s">
        <v>2216</v>
      </c>
      <c r="C691" s="5" t="s">
        <v>2217</v>
      </c>
      <c r="D691" s="5" t="s">
        <v>89</v>
      </c>
      <c r="E691" s="3" t="str">
        <f>HYPERLINK("http://dermatologialapalma.com/", "Visit Website")</f>
        <v>Visit Website</v>
      </c>
      <c r="F691" s="4">
        <v>4</v>
      </c>
      <c r="G691" s="5" t="s">
        <v>89</v>
      </c>
      <c r="H691" s="4" t="s">
        <v>89</v>
      </c>
      <c r="I691" s="2" t="s">
        <v>2218</v>
      </c>
      <c r="J691" s="4" t="s">
        <v>89</v>
      </c>
      <c r="K691" s="4" t="s">
        <v>89</v>
      </c>
      <c r="L691" s="3" t="str">
        <f>HYPERLINK("https://www.google.com/maps/search/?api=1&amp;query=Dermatolog%C3%ADa%20La%20Palma&amp;query_place_id=ChIJ122wKgHsawwRNyvse8NE-tc", "Open Map")</f>
        <v>Open Map</v>
      </c>
    </row>
    <row r="692" spans="1:12" ht="20" customHeight="1">
      <c r="A692" s="2" t="s">
        <v>2219</v>
      </c>
      <c r="B692" s="2" t="s">
        <v>2220</v>
      </c>
      <c r="C692" s="2" t="s">
        <v>2221</v>
      </c>
      <c r="D692" s="2" t="s">
        <v>2222</v>
      </c>
      <c r="E692" s="3">
        <f>HYPERLINK("https://www.dermatologiaclinicacristobal.com/?utm_campaign=perfil_my_business&amp;utm_medium=organic&amp;utm_source=google", "Visit Website")</f>
        <v>0</v>
      </c>
      <c r="F692" s="4">
        <v>3.7</v>
      </c>
      <c r="G692" s="5" t="s">
        <v>2223</v>
      </c>
      <c r="H692" s="4">
        <v>1</v>
      </c>
      <c r="I692" s="2" t="s">
        <v>2224</v>
      </c>
      <c r="J692" s="4" t="s">
        <v>2225</v>
      </c>
      <c r="K692" s="3" t="str">
        <f>HYPERLINK("https://www.google.com/maps/reviews/data=!4m8!14m7!1m6!2m5!1sCi9DQUlRQUNvZENodHljRjlvT2s1cE4xaEJRMFJFT0doYU0yVkRZekI2TWxSRVEzYxAB!2m1!1s0x0:0xa1a8cdfd9ddf6437!3m1!1s2@1:CAIQACodChtycF9oOk5pN1hBQ0REOGhaM2VDYzB6MlREQ3c%7C%7C?hl=en", "View Link")</f>
        <v>View Link</v>
      </c>
      <c r="L692" s="3">
        <f>HYPERLINK("https://www.google.com/maps/search/?api=1&amp;query=Dermatolog%C3%ADa%20Cristobal&amp;query_place_id=ChIJYybh2xAmPw0RN2Tfnf3NqKE", "Open Map")</f>
        <v>0</v>
      </c>
    </row>
    <row r="693" spans="1:12" ht="20" customHeight="1">
      <c r="A693" s="2"/>
      <c r="B693" s="2"/>
      <c r="C693" s="2"/>
      <c r="D693" s="2"/>
      <c r="E693" s="3"/>
      <c r="F693" s="4"/>
      <c r="G693" s="5" t="s">
        <v>2226</v>
      </c>
      <c r="H693" s="4">
        <v>1</v>
      </c>
      <c r="I693" s="2" t="s">
        <v>2227</v>
      </c>
      <c r="J693" s="4" t="s">
        <v>2228</v>
      </c>
      <c r="K693" s="3" t="str">
        <f>HYPERLINK("https://www.google.com/maps/reviews/data=!4m8!14m7!1m6!2m5!1sChZDSUhNMG9nS0VPTzB3dmZ3Z3MtbkhREAE!2m1!1s0x0:0xa1a8cdfd9ddf6437!3m1!1s2@1:CIHM0ogKEOO0wvfwgs-nHQ%7C%7C?hl=en", "View Link")</f>
        <v>View Link</v>
      </c>
      <c r="L693" s="3"/>
    </row>
    <row r="694" spans="1:12" ht="20" customHeight="1">
      <c r="A694" s="2"/>
      <c r="B694" s="2"/>
      <c r="C694" s="2"/>
      <c r="D694" s="2"/>
      <c r="E694" s="3"/>
      <c r="F694" s="4"/>
      <c r="G694" s="5" t="s">
        <v>2229</v>
      </c>
      <c r="H694" s="4">
        <v>1</v>
      </c>
      <c r="I694" s="2" t="s">
        <v>2230</v>
      </c>
      <c r="J694" s="4" t="s">
        <v>2231</v>
      </c>
      <c r="K694" s="3" t="str">
        <f>HYPERLINK("https://www.google.com/maps/reviews/data=!4m8!14m7!1m6!2m5!1sChZDSUhNMG9nS0VJQ0FnSUR0aGVTblpBEAE!2m1!1s0x0:0xa1a8cdfd9ddf6437!3m1!1s2@1:CIHM0ogKEICAgIDtheSnZA%7C%7C?hl=en", "View Link")</f>
        <v>View Link</v>
      </c>
      <c r="L694" s="3"/>
    </row>
    <row r="695" spans="1:12" ht="20" customHeight="1">
      <c r="A695" s="2"/>
      <c r="B695" s="2"/>
      <c r="C695" s="2"/>
      <c r="D695" s="2"/>
      <c r="E695" s="3"/>
      <c r="F695" s="4"/>
      <c r="G695" s="5" t="s">
        <v>2232</v>
      </c>
      <c r="H695" s="4">
        <v>1</v>
      </c>
      <c r="I695" s="2" t="s">
        <v>2233</v>
      </c>
      <c r="J695" s="4" t="s">
        <v>2234</v>
      </c>
      <c r="K695" s="3" t="str">
        <f>HYPERLINK("https://www.google.com/maps/reviews/data=!4m8!14m7!1m6!2m5!1sChdDSUhNMG9nS0VJQ0FnSUNmcHNQUGxBRRAB!2m1!1s0x0:0xa1a8cdfd9ddf6437!3m1!1s2@1:CIHM0ogKEICAgICfpsPPlAE%7C%7C?hl=en", "View Link")</f>
        <v>View Link</v>
      </c>
      <c r="L695" s="3"/>
    </row>
    <row r="696" spans="1:12" ht="20" customHeight="1">
      <c r="A696" s="2"/>
      <c r="B696" s="2"/>
      <c r="C696" s="2"/>
      <c r="D696" s="2"/>
      <c r="E696" s="3"/>
      <c r="F696" s="4"/>
      <c r="G696" s="5" t="s">
        <v>2235</v>
      </c>
      <c r="H696" s="4">
        <v>1</v>
      </c>
      <c r="I696" s="2" t="s">
        <v>2236</v>
      </c>
      <c r="J696" s="4" t="s">
        <v>2237</v>
      </c>
      <c r="K696" s="3" t="str">
        <f>HYPERLINK("https://www.google.com/maps/reviews/data=!4m8!14m7!1m6!2m5!1sChZDSUhNMG9nS0VJQ0FnSUQ5cUtlNlpREAE!2m1!1s0x0:0xa1a8cdfd9ddf6437!3m1!1s2@1:CIHM0ogKEICAgID9qKe6ZQ%7C%7C?hl=en", "View Link")</f>
        <v>View Link</v>
      </c>
      <c r="L696" s="3"/>
    </row>
    <row r="697" spans="1:12" ht="20" customHeight="1">
      <c r="A697" s="2"/>
      <c r="B697" s="2"/>
      <c r="C697" s="2"/>
      <c r="D697" s="2"/>
      <c r="E697" s="3"/>
      <c r="F697" s="4"/>
      <c r="G697" s="5" t="s">
        <v>2238</v>
      </c>
      <c r="H697" s="4">
        <v>1</v>
      </c>
      <c r="I697" s="2" t="s">
        <v>2239</v>
      </c>
      <c r="J697" s="4" t="s">
        <v>2240</v>
      </c>
      <c r="K697" s="3" t="str">
        <f>HYPERLINK("https://www.google.com/maps/reviews/data=!4m8!14m7!1m6!2m5!1sChZDSUhNMG9nS0VJQ0FnSUM3cFBMQ1Z3EAE!2m1!1s0x0:0xa1a8cdfd9ddf6437!3m1!1s2@1:CIHM0ogKEICAgIC7pPLCVw%7C%7C?hl=en", "View Link")</f>
        <v>View Link</v>
      </c>
      <c r="L697" s="3"/>
    </row>
    <row r="698" spans="1:12" ht="20" customHeight="1">
      <c r="A698" s="2"/>
      <c r="B698" s="2"/>
      <c r="C698" s="2"/>
      <c r="D698" s="2"/>
      <c r="E698" s="3"/>
      <c r="F698" s="4"/>
      <c r="G698" s="5" t="s">
        <v>2241</v>
      </c>
      <c r="H698" s="4">
        <v>1</v>
      </c>
      <c r="I698" s="2" t="s">
        <v>2242</v>
      </c>
      <c r="J698" s="4" t="s">
        <v>2243</v>
      </c>
      <c r="K698" s="3" t="str">
        <f>HYPERLINK("https://www.google.com/maps/reviews/data=!4m8!14m7!1m6!2m5!1sChZDSUhNMG9nS0VJQ0FnSUNiMDRxWUNREAE!2m1!1s0x0:0xa1a8cdfd9ddf6437!3m1!1s2@1:CIHM0ogKEICAgICb04qYCQ%7C%7C?hl=en", "View Link")</f>
        <v>View Link</v>
      </c>
      <c r="L698" s="3"/>
    </row>
    <row r="699" spans="1:12" ht="20" customHeight="1">
      <c r="A699" s="2"/>
      <c r="B699" s="2"/>
      <c r="C699" s="2"/>
      <c r="D699" s="2"/>
      <c r="E699" s="3"/>
      <c r="F699" s="4"/>
      <c r="G699" s="5" t="s">
        <v>2244</v>
      </c>
      <c r="H699" s="4">
        <v>1</v>
      </c>
      <c r="I699" s="2" t="s">
        <v>2245</v>
      </c>
      <c r="J699" s="4" t="s">
        <v>2246</v>
      </c>
      <c r="K699" s="3" t="str">
        <f>HYPERLINK("https://www.google.com/maps/reviews/data=!4m8!14m7!1m6!2m5!1sChdDSUhNMG9nS0VJQ0FnSUNNMl8zbzVBRRAB!2m1!1s0x0:0xa1a8cdfd9ddf6437!3m1!1s2@1:CIHM0ogKEICAgICM2_3o5AE%7C%7C?hl=en", "View Link")</f>
        <v>View Link</v>
      </c>
      <c r="L699" s="3"/>
    </row>
    <row r="700" spans="1:12" ht="20" customHeight="1">
      <c r="A700" s="2"/>
      <c r="B700" s="2"/>
      <c r="C700" s="2"/>
      <c r="D700" s="2"/>
      <c r="E700" s="3"/>
      <c r="F700" s="4"/>
      <c r="G700" s="5" t="s">
        <v>2247</v>
      </c>
      <c r="H700" s="4">
        <v>1</v>
      </c>
      <c r="I700" s="2" t="s">
        <v>2248</v>
      </c>
      <c r="J700" s="4" t="s">
        <v>2249</v>
      </c>
      <c r="K700" s="3" t="str">
        <f>HYPERLINK("https://www.google.com/maps/reviews/data=!4m8!14m7!1m6!2m5!1sChdDSUhNMG9nS0VJQ0FnSUQyaDZ6UjZnRRAB!2m1!1s0x0:0xa1a8cdfd9ddf6437!3m1!1s2@1:CIHM0ogKEICAgID2h6zR6gE%7C%7C?hl=en", "View Link")</f>
        <v>View Link</v>
      </c>
      <c r="L700" s="3"/>
    </row>
    <row r="701" spans="1:12" ht="20" customHeight="1">
      <c r="A701" s="2"/>
      <c r="B701" s="2"/>
      <c r="C701" s="2"/>
      <c r="D701" s="2"/>
      <c r="E701" s="3"/>
      <c r="F701" s="4"/>
      <c r="G701" s="5" t="s">
        <v>2250</v>
      </c>
      <c r="H701" s="4">
        <v>1</v>
      </c>
      <c r="I701" s="2" t="s">
        <v>2251</v>
      </c>
      <c r="J701" s="4" t="s">
        <v>2252</v>
      </c>
      <c r="K701" s="3" t="str">
        <f>HYPERLINK("https://www.google.com/maps/reviews/data=!4m8!14m7!1m6!2m5!1sChdDSUhNMG9nS0VJQ0FnSURpOUxqMnNRRRAB!2m1!1s0x0:0xa1a8cdfd9ddf6437!3m1!1s2@1:CIHM0ogKEICAgIDi9Lj2sQE%7C%7C?hl=en", "View Link")</f>
        <v>View Link</v>
      </c>
      <c r="L701" s="3"/>
    </row>
    <row r="702" spans="1:12" ht="20" customHeight="1">
      <c r="A702" s="2"/>
      <c r="B702" s="2"/>
      <c r="C702" s="2"/>
      <c r="D702" s="2"/>
      <c r="E702" s="3"/>
      <c r="F702" s="4"/>
      <c r="G702" s="5" t="s">
        <v>2253</v>
      </c>
      <c r="H702" s="4">
        <v>1</v>
      </c>
      <c r="I702" s="2" t="s">
        <v>2254</v>
      </c>
      <c r="J702" s="4" t="s">
        <v>2255</v>
      </c>
      <c r="K702" s="3" t="str">
        <f>HYPERLINK("https://www.google.com/maps/reviews/data=!4m8!14m7!1m6!2m5!1sChdDSUhNMG9nS0VJQ0FnSURudzZqanhBRRAB!2m1!1s0x0:0xa1a8cdfd9ddf6437!3m1!1s2@1:CIHM0ogKEICAgIDnw6jjxAE%7C%7C?hl=en", "View Link")</f>
        <v>View Link</v>
      </c>
      <c r="L702" s="3"/>
    </row>
    <row r="703" spans="1:12" ht="20" customHeight="1">
      <c r="A703" s="2"/>
      <c r="B703" s="2"/>
      <c r="C703" s="2"/>
      <c r="D703" s="2"/>
      <c r="E703" s="3"/>
      <c r="F703" s="4"/>
      <c r="G703" s="5" t="s">
        <v>2256</v>
      </c>
      <c r="H703" s="4">
        <v>1</v>
      </c>
      <c r="I703" s="2" t="s">
        <v>2257</v>
      </c>
      <c r="J703" s="4" t="s">
        <v>2258</v>
      </c>
      <c r="K703" s="3" t="str">
        <f>HYPERLINK("https://www.google.com/maps/reviews/data=!4m8!14m7!1m6!2m5!1sChZDSUhNMG9nS0VJQ0FnSURZNVBDbWV3EAE!2m1!1s0x0:0xa1a8cdfd9ddf6437!3m1!1s2@1:CIHM0ogKEICAgIDY5PCmew%7C%7C?hl=en", "View Link")</f>
        <v>View Link</v>
      </c>
      <c r="L703" s="3"/>
    </row>
    <row r="704" spans="1:12" ht="20" customHeight="1">
      <c r="A704" s="2"/>
      <c r="B704" s="2"/>
      <c r="C704" s="2"/>
      <c r="D704" s="2"/>
      <c r="E704" s="3"/>
      <c r="F704" s="4"/>
      <c r="G704" s="5" t="s">
        <v>2259</v>
      </c>
      <c r="H704" s="4">
        <v>1</v>
      </c>
      <c r="I704" s="2" t="s">
        <v>2260</v>
      </c>
      <c r="J704" s="4" t="s">
        <v>2261</v>
      </c>
      <c r="K704" s="3" t="str">
        <f>HYPERLINK("https://www.google.com/maps/reviews/data=!4m8!14m7!1m6!2m5!1sChZDSUhNMG9nS0VJQ0FnSUR1X2NTY2JnEAE!2m1!1s0x0:0xa1a8cdfd9ddf6437!3m1!1s2@1:CIHM0ogKEICAgIDu_cScbg%7C%7C?hl=en", "View Link")</f>
        <v>View Link</v>
      </c>
      <c r="L704" s="3"/>
    </row>
    <row r="705" spans="1:12" ht="20" customHeight="1">
      <c r="A705" s="2"/>
      <c r="B705" s="2"/>
      <c r="C705" s="2"/>
      <c r="D705" s="2"/>
      <c r="E705" s="3"/>
      <c r="F705" s="4"/>
      <c r="G705" s="5" t="s">
        <v>2262</v>
      </c>
      <c r="H705" s="4">
        <v>1</v>
      </c>
      <c r="I705" s="2" t="s">
        <v>2263</v>
      </c>
      <c r="J705" s="4" t="s">
        <v>2264</v>
      </c>
      <c r="K705" s="3" t="str">
        <f>HYPERLINK("https://www.google.com/maps/reviews/data=!4m8!14m7!1m6!2m5!1sChdDSUhNMG9nS0VJQ0FnSUNkLWJXdnZ3RRAB!2m1!1s0x0:0xa1a8cdfd9ddf6437!3m1!1s2@1:CIHM0ogKEICAgICd-bWvvwE%7C%7C?hl=en", "View Link")</f>
        <v>View Link</v>
      </c>
      <c r="L705" s="3"/>
    </row>
    <row r="706" spans="1:12" ht="20" customHeight="1">
      <c r="A706" s="2"/>
      <c r="B706" s="2"/>
      <c r="C706" s="2"/>
      <c r="D706" s="2"/>
      <c r="E706" s="3"/>
      <c r="F706" s="4"/>
      <c r="G706" s="5" t="s">
        <v>2265</v>
      </c>
      <c r="H706" s="4">
        <v>1</v>
      </c>
      <c r="I706" s="2" t="s">
        <v>2266</v>
      </c>
      <c r="J706" s="4" t="s">
        <v>2267</v>
      </c>
      <c r="K706" s="3" t="str">
        <f>HYPERLINK("https://www.google.com/maps/reviews/data=!4m8!14m7!1m6!2m5!1sChZDSUhNMG9nS0VJQ0FnSURSam9yUUJ3EAE!2m1!1s0x0:0xa1a8cdfd9ddf6437!3m1!1s2@1:CIHM0ogKEICAgIDRjorQBw%7C%7C?hl=en", "View Link")</f>
        <v>View Link</v>
      </c>
      <c r="L706" s="3"/>
    </row>
    <row r="707" spans="1:12" ht="20" customHeight="1">
      <c r="A707" s="2"/>
      <c r="B707" s="2"/>
      <c r="C707" s="2"/>
      <c r="D707" s="2"/>
      <c r="E707" s="3"/>
      <c r="F707" s="4"/>
      <c r="G707" s="5" t="s">
        <v>2268</v>
      </c>
      <c r="H707" s="4">
        <v>1</v>
      </c>
      <c r="I707" s="2" t="s">
        <v>2269</v>
      </c>
      <c r="J707" s="4" t="s">
        <v>2270</v>
      </c>
      <c r="K707" s="3" t="str">
        <f>HYPERLINK("https://www.google.com/maps/reviews/data=!4m8!14m7!1m6!2m5!1sChdDSUhNMG9nS0VJQ0FnSUQ2cGNMNDFnRRAB!2m1!1s0x0:0xa1a8cdfd9ddf6437!3m1!1s2@1:CIHM0ogKEICAgID6pcL41gE%7C%7C?hl=en", "View Link")</f>
        <v>View Link</v>
      </c>
      <c r="L707" s="3"/>
    </row>
    <row r="708" spans="1:12" ht="20" customHeight="1">
      <c r="A708" s="2"/>
      <c r="B708" s="2"/>
      <c r="C708" s="2"/>
      <c r="D708" s="2"/>
      <c r="E708" s="3"/>
      <c r="F708" s="4"/>
      <c r="G708" s="5" t="s">
        <v>2271</v>
      </c>
      <c r="H708" s="4">
        <v>1</v>
      </c>
      <c r="I708" s="2" t="s">
        <v>2272</v>
      </c>
      <c r="J708" s="4" t="s">
        <v>2273</v>
      </c>
      <c r="K708" s="3" t="str">
        <f>HYPERLINK("https://www.google.com/maps/reviews/data=!4m8!14m7!1m6!2m5!1sChZDSUhNMG9nS0VJQ0FnSURlMjkzaWN3EAE!2m1!1s0x0:0xa1a8cdfd9ddf6437!3m1!1s2@1:CIHM0ogKEICAgIDe293icw%7C%7C?hl=en", "View Link")</f>
        <v>View Link</v>
      </c>
      <c r="L708" s="3"/>
    </row>
    <row r="709" spans="1:12" ht="20" customHeight="1">
      <c r="A709" s="2"/>
      <c r="B709" s="2"/>
      <c r="C709" s="2"/>
      <c r="D709" s="2"/>
      <c r="E709" s="3"/>
      <c r="F709" s="4"/>
      <c r="G709" s="5" t="s">
        <v>2274</v>
      </c>
      <c r="H709" s="4">
        <v>1</v>
      </c>
      <c r="I709" s="2" t="s">
        <v>2275</v>
      </c>
      <c r="J709" s="4" t="s">
        <v>2276</v>
      </c>
      <c r="K709" s="3" t="str">
        <f>HYPERLINK("https://www.google.com/maps/reviews/data=!4m8!14m7!1m6!2m5!1sChZDSUhNMG9nS0VJQ0FnSUQ0XzluTFN3EAE!2m1!1s0x0:0xa1a8cdfd9ddf6437!3m1!1s2@1:CIHM0ogKEICAgID4_9nLSw%7C%7C?hl=en", "View Link")</f>
        <v>View Link</v>
      </c>
      <c r="L709" s="3"/>
    </row>
    <row r="710" spans="1:12" ht="20" customHeight="1">
      <c r="A710" s="2"/>
      <c r="B710" s="2"/>
      <c r="C710" s="2"/>
      <c r="D710" s="2"/>
      <c r="E710" s="3"/>
      <c r="F710" s="4"/>
      <c r="G710" s="5" t="s">
        <v>2277</v>
      </c>
      <c r="H710" s="4">
        <v>1</v>
      </c>
      <c r="I710" s="2" t="s">
        <v>2278</v>
      </c>
      <c r="J710" s="4" t="s">
        <v>2279</v>
      </c>
      <c r="K710" s="3" t="str">
        <f>HYPERLINK("https://www.google.com/maps/reviews/data=!4m8!14m7!1m6!2m5!1sChdDSUhNMG9nS0VJQ0FnSURvOFBLWjRRRRAB!2m1!1s0x0:0xa1a8cdfd9ddf6437!3m1!1s2@1:CIHM0ogKEICAgIDo8PKZ4QE%7C%7C?hl=en", "View Link")</f>
        <v>View Link</v>
      </c>
      <c r="L710" s="3"/>
    </row>
    <row r="711" spans="1:12" ht="20" customHeight="1">
      <c r="A711" s="2"/>
      <c r="B711" s="2"/>
      <c r="C711" s="2"/>
      <c r="D711" s="2"/>
      <c r="E711" s="3"/>
      <c r="F711" s="4"/>
      <c r="G711" s="5" t="s">
        <v>2280</v>
      </c>
      <c r="H711" s="4">
        <v>1</v>
      </c>
      <c r="I711" s="2" t="s">
        <v>2281</v>
      </c>
      <c r="J711" s="4" t="s">
        <v>2282</v>
      </c>
      <c r="K711" s="3" t="str">
        <f>HYPERLINK("https://www.google.com/maps/reviews/data=!4m8!14m7!1m6!2m5!1sChZDSUhNMG9nS0VJQ0FnSUNMaWRla1FnEAE!2m1!1s0x0:0xa1a8cdfd9ddf6437!3m1!1s2@1:CIHM0ogKEICAgICLidekQg%7C%7C?hl=en", "View Link")</f>
        <v>View Link</v>
      </c>
      <c r="L711" s="3"/>
    </row>
    <row r="712" spans="1:12" ht="20" customHeight="1">
      <c r="A712" s="2" t="s">
        <v>2283</v>
      </c>
      <c r="B712" s="2" t="s">
        <v>2284</v>
      </c>
      <c r="C712" s="2" t="s">
        <v>2285</v>
      </c>
      <c r="D712" s="2" t="s">
        <v>2286</v>
      </c>
      <c r="E712" s="3">
        <f>HYPERLINK("http://www.dermogalicia.es/", "Visit Website")</f>
        <v>0</v>
      </c>
      <c r="F712" s="4">
        <v>4.3</v>
      </c>
      <c r="G712" s="5" t="s">
        <v>2287</v>
      </c>
      <c r="H712" s="4">
        <v>1</v>
      </c>
      <c r="I712" s="2" t="s">
        <v>2288</v>
      </c>
      <c r="J712" s="4" t="s">
        <v>2289</v>
      </c>
      <c r="K712" s="3" t="str">
        <f>HYPERLINK("https://www.google.com/maps/reviews/data=!4m8!14m7!1m6!2m5!1sChdDSUhNMG9nS0VJQ0FnSUN5NW9UaXdnRRAB!2m1!1s0x0:0x9c73670a55aa0857!3m1!1s2@1:CIHM0ogKEICAgICy5oTiwgE%7C%7C?hl=en", "View Link")</f>
        <v>View Link</v>
      </c>
      <c r="L712" s="3">
        <f>HYPERLINK("https://www.google.com/maps/search/?api=1&amp;query=CL%C3%8DNICA%20DERMATOL%C3%93GICA%20DRA.%20CEBREIRO&amp;query_place_id=ChIJ2Uh0zkD-Lg0RVwiqVQpnc5w", "Open Map")</f>
        <v>0</v>
      </c>
    </row>
    <row r="713" spans="1:12" ht="20" customHeight="1">
      <c r="A713" s="2"/>
      <c r="B713" s="2"/>
      <c r="C713" s="2"/>
      <c r="D713" s="2"/>
      <c r="E713" s="3"/>
      <c r="F713" s="4"/>
      <c r="G713" s="5" t="s">
        <v>2290</v>
      </c>
      <c r="H713" s="4">
        <v>1</v>
      </c>
      <c r="I713" s="2" t="s">
        <v>2291</v>
      </c>
      <c r="J713" s="4" t="s">
        <v>2292</v>
      </c>
      <c r="K713" s="3" t="str">
        <f>HYPERLINK("https://www.google.com/maps/reviews/data=!4m8!14m7!1m6!2m5!1sChdDSUhNMG9nS0VJQ0FnSUNnajY2SW13RRAB!2m1!1s0x0:0x9c73670a55aa0857!3m1!1s2@1:CIHM0ogKEICAgICgj66ImwE%7C%7C?hl=en", "View Link")</f>
        <v>View Link</v>
      </c>
      <c r="L713" s="3"/>
    </row>
    <row r="714" spans="1:12" ht="20" customHeight="1">
      <c r="A714" s="2"/>
      <c r="B714" s="2"/>
      <c r="C714" s="2"/>
      <c r="D714" s="2"/>
      <c r="E714" s="3"/>
      <c r="F714" s="4"/>
      <c r="G714" s="5" t="s">
        <v>2293</v>
      </c>
      <c r="H714" s="4">
        <v>1</v>
      </c>
      <c r="I714" s="2" t="s">
        <v>2294</v>
      </c>
      <c r="J714" s="4" t="s">
        <v>2295</v>
      </c>
      <c r="K714" s="3" t="str">
        <f>HYPERLINK("https://www.google.com/maps/reviews/data=!4m8!14m7!1m6!2m5!1sChdDSUhNMG9nS0VJQ0FnSUN5cjR6Q3FBRRAB!2m1!1s0x0:0x9c73670a55aa0857!3m1!1s2@1:CIHM0ogKEICAgICyr4zCqAE%7C%7C?hl=en", "View Link")</f>
        <v>View Link</v>
      </c>
      <c r="L714" s="3"/>
    </row>
    <row r="715" spans="1:12" ht="20" customHeight="1">
      <c r="A715" s="2"/>
      <c r="B715" s="2"/>
      <c r="C715" s="2"/>
      <c r="D715" s="2"/>
      <c r="E715" s="3"/>
      <c r="F715" s="4"/>
      <c r="G715" s="5" t="s">
        <v>2296</v>
      </c>
      <c r="H715" s="4">
        <v>1</v>
      </c>
      <c r="I715" s="2" t="s">
        <v>2297</v>
      </c>
      <c r="J715" s="4" t="s">
        <v>2298</v>
      </c>
      <c r="K715" s="3" t="str">
        <f>HYPERLINK("https://www.google.com/maps/reviews/data=!4m8!14m7!1m6!2m5!1sChdDSUhNMG9nS0VJQ0FnSURoNTdPb2l3RRAB!2m1!1s0x0:0x9c73670a55aa0857!3m1!1s2@1:CIHM0ogKEICAgIDh57OoiwE%7C%7C?hl=en", "View Link")</f>
        <v>View Link</v>
      </c>
      <c r="L715" s="3"/>
    </row>
    <row r="716" spans="1:12" ht="20" customHeight="1">
      <c r="A716" s="2"/>
      <c r="B716" s="2"/>
      <c r="C716" s="2"/>
      <c r="D716" s="2"/>
      <c r="E716" s="3"/>
      <c r="F716" s="4"/>
      <c r="G716" s="5" t="s">
        <v>2299</v>
      </c>
      <c r="H716" s="4">
        <v>1</v>
      </c>
      <c r="I716" s="2" t="s">
        <v>2300</v>
      </c>
      <c r="J716" s="4" t="s">
        <v>2301</v>
      </c>
      <c r="K716" s="3" t="str">
        <f>HYPERLINK("https://www.google.com/maps/reviews/data=!4m8!14m7!1m6!2m5!1sChZDSUhNMG9nS0VJQ0FnSUN3aHZISUpREAE!2m1!1s0x0:0x9c73670a55aa0857!3m1!1s2@1:CIHM0ogKEICAgICwhvHIJQ%7C%7C?hl=en", "View Link")</f>
        <v>View Link</v>
      </c>
      <c r="L716" s="3"/>
    </row>
    <row r="717" spans="1:12" ht="20" customHeight="1">
      <c r="A717" s="2"/>
      <c r="B717" s="2"/>
      <c r="C717" s="2"/>
      <c r="D717" s="2"/>
      <c r="E717" s="3"/>
      <c r="F717" s="4"/>
      <c r="G717" s="5" t="s">
        <v>2302</v>
      </c>
      <c r="H717" s="4">
        <v>1</v>
      </c>
      <c r="I717" s="2" t="s">
        <v>2303</v>
      </c>
      <c r="J717" s="4" t="s">
        <v>2304</v>
      </c>
      <c r="K717" s="3" t="str">
        <f>HYPERLINK("https://www.google.com/maps/reviews/data=!4m8!14m7!1m6!2m5!1sChZDSUhNMG9nS0VJQ0FnSUNpNU9leUN3EAE!2m1!1s0x0:0x9c73670a55aa0857!3m1!1s2@1:CIHM0ogKEICAgICi5OeyCw%7C%7C?hl=en", "View Link")</f>
        <v>View Link</v>
      </c>
      <c r="L717" s="3"/>
    </row>
    <row r="718" spans="1:12" ht="20" customHeight="1">
      <c r="A718" s="2"/>
      <c r="B718" s="2"/>
      <c r="C718" s="2"/>
      <c r="D718" s="2"/>
      <c r="E718" s="3"/>
      <c r="F718" s="4"/>
      <c r="G718" s="5" t="s">
        <v>2305</v>
      </c>
      <c r="H718" s="4">
        <v>1</v>
      </c>
      <c r="I718" s="2"/>
      <c r="J718" s="4" t="s">
        <v>2306</v>
      </c>
      <c r="K718" s="3" t="str">
        <f>HYPERLINK("https://www.google.com/maps/reviews/data=!4m8!14m7!1m6!2m5!1sChdDSUhNMG9nS0VJQ0FnSUN4dk1qYXdRRRAB!2m1!1s0x0:0x9c73670a55aa0857!3m1!1s2@1:CIHM0ogKEICAgICxvMjawQE%7C%7C?hl=en", "View Link")</f>
        <v>View Link</v>
      </c>
      <c r="L718" s="3"/>
    </row>
    <row r="719" spans="1:12" ht="20" customHeight="1">
      <c r="A719" s="2"/>
      <c r="B719" s="2"/>
      <c r="C719" s="2"/>
      <c r="D719" s="2"/>
      <c r="E719" s="3"/>
      <c r="F719" s="4"/>
      <c r="G719" s="5" t="s">
        <v>2307</v>
      </c>
      <c r="H719" s="4">
        <v>2</v>
      </c>
      <c r="I719" s="2" t="s">
        <v>2308</v>
      </c>
      <c r="J719" s="4" t="s">
        <v>2309</v>
      </c>
      <c r="K719" s="3" t="str">
        <f>HYPERLINK("https://www.google.com/maps/reviews/data=!4m8!14m7!1m6!2m5!1sChZDSUhNMG9nS0VJQ0FnSURKdV83emZREAE!2m1!1s0x0:0x9c73670a55aa0857!3m1!1s2@1:CIHM0ogKEICAgIDJu_7zfQ%7C%7C?hl=en", "View Link")</f>
        <v>View Link</v>
      </c>
      <c r="L719" s="3"/>
    </row>
    <row r="720" spans="1:12" ht="20" customHeight="1">
      <c r="A720" s="2" t="s">
        <v>2310</v>
      </c>
      <c r="B720" s="2" t="s">
        <v>2311</v>
      </c>
      <c r="C720" s="2" t="s">
        <v>2312</v>
      </c>
      <c r="D720" s="2" t="s">
        <v>2313</v>
      </c>
      <c r="E720" s="3">
        <f>HYPERLINK("http://www.dravbenitez.com/", "Visit Website")</f>
        <v>0</v>
      </c>
      <c r="F720" s="4">
        <v>4.4</v>
      </c>
      <c r="G720" s="5" t="s">
        <v>2314</v>
      </c>
      <c r="H720" s="4">
        <v>1</v>
      </c>
      <c r="I720" s="2" t="s">
        <v>2315</v>
      </c>
      <c r="J720" s="4" t="s">
        <v>2316</v>
      </c>
      <c r="K720" s="3" t="str">
        <f>HYPERLINK("https://www.google.com/maps/reviews/data=!4m8!14m7!1m6!2m5!1sCi9DQUlRQUNvZENodHljRjlvT21jMk1FZ3lRVWhRWTJScFJWSTJkRWR2YzJ4TVVGRRAB!2m1!1s0x0:0xdbccb8a0f671e4c2!3m1!1s2@1:CAIQACodChtycF9oOmc2MEgyQUhQY2RpRVI2dEdvc2xMUFE%7C%7C?hl=en", "View Link")</f>
        <v>View Link</v>
      </c>
      <c r="L720" s="3">
        <f>HYPERLINK("https://www.google.com/maps/search/?api=1&amp;query=Dra%20Virginia%20Benitez%20Roig%20Aesthetics%20Marbella&amp;query_place_id=ChIJSxC3u9opcw0RwuRx9qC4zNs", "Open Map")</f>
        <v>0</v>
      </c>
    </row>
    <row r="721" spans="1:12" ht="20" customHeight="1">
      <c r="A721" s="2"/>
      <c r="B721" s="2"/>
      <c r="C721" s="2"/>
      <c r="D721" s="2"/>
      <c r="E721" s="3"/>
      <c r="F721" s="4"/>
      <c r="G721" s="5" t="s">
        <v>2317</v>
      </c>
      <c r="H721" s="4">
        <v>1</v>
      </c>
      <c r="I721" s="2" t="s">
        <v>2318</v>
      </c>
      <c r="J721" s="4" t="s">
        <v>2319</v>
      </c>
      <c r="K721" s="3" t="str">
        <f>HYPERLINK("https://www.google.com/maps/reviews/data=!4m8!14m7!1m6!2m5!1sCi9DQUlRQUNvZENodHljRjlvT21OUFRuWXRVVU5JZGpWQmNUWmFUWEZoV0dGVGQzYxAB!2m1!1s0x0:0xdbccb8a0f671e4c2!3m1!1s2@1:CAIQACodChtycF9oOmNPTnYtUUNIdjVBcTZaTXFhWGFTd3c%7C%7C?hl=en", "View Link")</f>
        <v>View Link</v>
      </c>
      <c r="L721" s="3"/>
    </row>
    <row r="722" spans="1:12" ht="20" customHeight="1">
      <c r="A722" s="2"/>
      <c r="B722" s="2"/>
      <c r="C722" s="2"/>
      <c r="D722" s="2"/>
      <c r="E722" s="3"/>
      <c r="F722" s="4"/>
      <c r="G722" s="5" t="s">
        <v>2320</v>
      </c>
      <c r="H722" s="4">
        <v>1</v>
      </c>
      <c r="I722" s="2" t="s">
        <v>2321</v>
      </c>
      <c r="J722" s="4" t="s">
        <v>2322</v>
      </c>
      <c r="K722" s="3" t="str">
        <f>HYPERLINK("https://www.google.com/maps/reviews/data=!4m8!14m7!1m6!2m5!1sChdDSUhNMG9nS0VJQ0FnSUQ2cHZfMXNnRRAB!2m1!1s0x0:0xdbccb8a0f671e4c2!3m1!1s2@1:CIHM0ogKEICAgID6pv_1sgE%7C%7C?hl=en", "View Link")</f>
        <v>View Link</v>
      </c>
      <c r="L722" s="3"/>
    </row>
    <row r="723" spans="1:12" ht="20" customHeight="1">
      <c r="A723" s="2"/>
      <c r="B723" s="2"/>
      <c r="C723" s="2"/>
      <c r="D723" s="2"/>
      <c r="E723" s="3"/>
      <c r="F723" s="4"/>
      <c r="G723" s="5" t="s">
        <v>2323</v>
      </c>
      <c r="H723" s="4">
        <v>1</v>
      </c>
      <c r="I723" s="2" t="s">
        <v>2324</v>
      </c>
      <c r="J723" s="4" t="s">
        <v>2325</v>
      </c>
      <c r="K723" s="3" t="str">
        <f>HYPERLINK("https://www.google.com/maps/reviews/data=!4m8!14m7!1m6!2m5!1sChdDSUhNMG9nS0VJQ0FnSUNXMnZyOG53RRAB!2m1!1s0x0:0xdbccb8a0f671e4c2!3m1!1s2@1:CIHM0ogKEICAgICW2vr8nwE%7C%7C?hl=en", "View Link")</f>
        <v>View Link</v>
      </c>
      <c r="L723" s="3"/>
    </row>
    <row r="724" spans="1:12" ht="20" customHeight="1">
      <c r="A724" s="2"/>
      <c r="B724" s="2"/>
      <c r="C724" s="2"/>
      <c r="D724" s="2"/>
      <c r="E724" s="3"/>
      <c r="F724" s="4"/>
      <c r="G724" s="5" t="s">
        <v>2326</v>
      </c>
      <c r="H724" s="4">
        <v>1</v>
      </c>
      <c r="I724" s="2" t="s">
        <v>2327</v>
      </c>
      <c r="J724" s="4" t="s">
        <v>2328</v>
      </c>
      <c r="K724" s="3" t="str">
        <f>HYPERLINK("https://www.google.com/maps/reviews/data=!4m8!14m7!1m6!2m5!1sChZDSUhNMG9nS0VJQ0FnSUNNcWJlSUJREAE!2m1!1s0x0:0xdbccb8a0f671e4c2!3m1!1s2@1:CIHM0ogKEICAgICMqbeIBQ%7C%7C?hl=en", "View Link")</f>
        <v>View Link</v>
      </c>
      <c r="L724" s="3"/>
    </row>
    <row r="725" spans="1:12" ht="20" customHeight="1">
      <c r="A725" s="2"/>
      <c r="B725" s="2"/>
      <c r="C725" s="2"/>
      <c r="D725" s="2"/>
      <c r="E725" s="3"/>
      <c r="F725" s="4"/>
      <c r="G725" s="5" t="s">
        <v>2329</v>
      </c>
      <c r="H725" s="4">
        <v>1</v>
      </c>
      <c r="I725" s="2" t="s">
        <v>2330</v>
      </c>
      <c r="J725" s="4" t="s">
        <v>2331</v>
      </c>
      <c r="K725" s="3" t="str">
        <f>HYPERLINK("https://www.google.com/maps/reviews/data=!4m8!14m7!1m6!2m5!1sChZDSUhNMG9nS0VJQ0FnSUNveDd5NlN3EAE!2m1!1s0x0:0xdbccb8a0f671e4c2!3m1!1s2@1:CIHM0ogKEICAgICox7y6Sw%7C%7C?hl=en", "View Link")</f>
        <v>View Link</v>
      </c>
      <c r="L725" s="3"/>
    </row>
    <row r="726" spans="1:12" ht="20" customHeight="1">
      <c r="A726" s="2"/>
      <c r="B726" s="2"/>
      <c r="C726" s="2"/>
      <c r="D726" s="2"/>
      <c r="E726" s="3"/>
      <c r="F726" s="4"/>
      <c r="G726" s="5" t="s">
        <v>2332</v>
      </c>
      <c r="H726" s="4">
        <v>3</v>
      </c>
      <c r="I726" s="2" t="s">
        <v>2333</v>
      </c>
      <c r="J726" s="4" t="s">
        <v>2334</v>
      </c>
      <c r="K726" s="3" t="str">
        <f>HYPERLINK("https://www.google.com/maps/reviews/data=!4m8!14m7!1m6!2m5!1sCi9DQUlRQUNvZENodHljRjlvT2t0Q1FVTnFVRVp3Ym1kbk0xQTNMVEpFUzNoVWQzYxAB!2m1!1s0x0:0xdbccb8a0f671e4c2!3m1!1s2@1:CAIQACodChtycF9oOktCQUNqUEZwbmdnM1A3LTJES3hUd3c%7C%7C?hl=en", "View Link")</f>
        <v>View Link</v>
      </c>
      <c r="L726" s="3"/>
    </row>
  </sheetData>
  <mergeCells count="308">
    <mergeCell ref="A2:A21"/>
    <mergeCell ref="B2:B21"/>
    <mergeCell ref="C2:C21"/>
    <mergeCell ref="D2:D21"/>
    <mergeCell ref="E2:E21"/>
    <mergeCell ref="F2:F21"/>
    <mergeCell ref="L2:L21"/>
    <mergeCell ref="A22:A23"/>
    <mergeCell ref="B22:B23"/>
    <mergeCell ref="C22:C23"/>
    <mergeCell ref="D22:D23"/>
    <mergeCell ref="E22:E23"/>
    <mergeCell ref="F22:F23"/>
    <mergeCell ref="L22:L23"/>
    <mergeCell ref="A25:A33"/>
    <mergeCell ref="B25:B33"/>
    <mergeCell ref="C25:C33"/>
    <mergeCell ref="D25:D33"/>
    <mergeCell ref="E25:E33"/>
    <mergeCell ref="F25:F33"/>
    <mergeCell ref="L25:L33"/>
    <mergeCell ref="A34:A53"/>
    <mergeCell ref="B34:B53"/>
    <mergeCell ref="C34:C53"/>
    <mergeCell ref="D34:D53"/>
    <mergeCell ref="E34:E53"/>
    <mergeCell ref="F34:F53"/>
    <mergeCell ref="L34:L53"/>
    <mergeCell ref="A54:A73"/>
    <mergeCell ref="B54:B73"/>
    <mergeCell ref="C54:C73"/>
    <mergeCell ref="D54:D73"/>
    <mergeCell ref="E54:E73"/>
    <mergeCell ref="F54:F73"/>
    <mergeCell ref="L54:L73"/>
    <mergeCell ref="A74:A82"/>
    <mergeCell ref="B74:B82"/>
    <mergeCell ref="C74:C82"/>
    <mergeCell ref="D74:D82"/>
    <mergeCell ref="E74:E82"/>
    <mergeCell ref="F74:F82"/>
    <mergeCell ref="L74:L82"/>
    <mergeCell ref="A83:A98"/>
    <mergeCell ref="B83:B98"/>
    <mergeCell ref="C83:C98"/>
    <mergeCell ref="D83:D98"/>
    <mergeCell ref="E83:E98"/>
    <mergeCell ref="F83:F98"/>
    <mergeCell ref="L83:L98"/>
    <mergeCell ref="A99:A103"/>
    <mergeCell ref="B99:B103"/>
    <mergeCell ref="C99:C103"/>
    <mergeCell ref="D99:D103"/>
    <mergeCell ref="E99:E103"/>
    <mergeCell ref="F99:F103"/>
    <mergeCell ref="L99:L103"/>
    <mergeCell ref="A104:A106"/>
    <mergeCell ref="B104:B106"/>
    <mergeCell ref="C104:C106"/>
    <mergeCell ref="D104:D106"/>
    <mergeCell ref="E104:E106"/>
    <mergeCell ref="F104:F106"/>
    <mergeCell ref="L104:L106"/>
    <mergeCell ref="A107:A126"/>
    <mergeCell ref="B107:B126"/>
    <mergeCell ref="C107:C126"/>
    <mergeCell ref="D107:D126"/>
    <mergeCell ref="E107:E126"/>
    <mergeCell ref="F107:F126"/>
    <mergeCell ref="L107:L126"/>
    <mergeCell ref="A127:A146"/>
    <mergeCell ref="B127:B146"/>
    <mergeCell ref="C127:C146"/>
    <mergeCell ref="D127:D146"/>
    <mergeCell ref="E127:E146"/>
    <mergeCell ref="F127:F146"/>
    <mergeCell ref="L127:L146"/>
    <mergeCell ref="A147:A166"/>
    <mergeCell ref="B147:B166"/>
    <mergeCell ref="C147:C166"/>
    <mergeCell ref="D147:D166"/>
    <mergeCell ref="E147:E166"/>
    <mergeCell ref="F147:F166"/>
    <mergeCell ref="L147:L166"/>
    <mergeCell ref="A167:A186"/>
    <mergeCell ref="B167:B186"/>
    <mergeCell ref="C167:C186"/>
    <mergeCell ref="D167:D186"/>
    <mergeCell ref="E167:E186"/>
    <mergeCell ref="F167:F186"/>
    <mergeCell ref="L167:L186"/>
    <mergeCell ref="A187:A197"/>
    <mergeCell ref="B187:B197"/>
    <mergeCell ref="C187:C197"/>
    <mergeCell ref="D187:D197"/>
    <mergeCell ref="E187:E197"/>
    <mergeCell ref="F187:F197"/>
    <mergeCell ref="L187:L197"/>
    <mergeCell ref="A198:A217"/>
    <mergeCell ref="B198:B217"/>
    <mergeCell ref="C198:C217"/>
    <mergeCell ref="D198:D217"/>
    <mergeCell ref="E198:E217"/>
    <mergeCell ref="F198:F217"/>
    <mergeCell ref="L198:L217"/>
    <mergeCell ref="A218:A237"/>
    <mergeCell ref="B218:B237"/>
    <mergeCell ref="C218:C237"/>
    <mergeCell ref="D218:D237"/>
    <mergeCell ref="E218:E237"/>
    <mergeCell ref="F218:F237"/>
    <mergeCell ref="L218:L237"/>
    <mergeCell ref="A238:A257"/>
    <mergeCell ref="B238:B257"/>
    <mergeCell ref="C238:C257"/>
    <mergeCell ref="D238:D257"/>
    <mergeCell ref="E238:E257"/>
    <mergeCell ref="F238:F257"/>
    <mergeCell ref="L238:L257"/>
    <mergeCell ref="A258:A277"/>
    <mergeCell ref="B258:B277"/>
    <mergeCell ref="C258:C277"/>
    <mergeCell ref="D258:D277"/>
    <mergeCell ref="E258:E277"/>
    <mergeCell ref="F258:F277"/>
    <mergeCell ref="L258:L277"/>
    <mergeCell ref="A278:A290"/>
    <mergeCell ref="B278:B290"/>
    <mergeCell ref="C278:C290"/>
    <mergeCell ref="D278:D290"/>
    <mergeCell ref="E278:E290"/>
    <mergeCell ref="F278:F290"/>
    <mergeCell ref="L278:L290"/>
    <mergeCell ref="A291:A299"/>
    <mergeCell ref="B291:B299"/>
    <mergeCell ref="C291:C299"/>
    <mergeCell ref="D291:D299"/>
    <mergeCell ref="E291:E299"/>
    <mergeCell ref="F291:F299"/>
    <mergeCell ref="L291:L299"/>
    <mergeCell ref="A300:A319"/>
    <mergeCell ref="B300:B319"/>
    <mergeCell ref="C300:C319"/>
    <mergeCell ref="D300:D319"/>
    <mergeCell ref="E300:E319"/>
    <mergeCell ref="F300:F319"/>
    <mergeCell ref="L300:L319"/>
    <mergeCell ref="A320:A339"/>
    <mergeCell ref="B320:B339"/>
    <mergeCell ref="C320:C339"/>
    <mergeCell ref="D320:D339"/>
    <mergeCell ref="E320:E339"/>
    <mergeCell ref="F320:F339"/>
    <mergeCell ref="L320:L339"/>
    <mergeCell ref="A340:A359"/>
    <mergeCell ref="B340:B359"/>
    <mergeCell ref="C340:C359"/>
    <mergeCell ref="D340:D359"/>
    <mergeCell ref="E340:E359"/>
    <mergeCell ref="F340:F359"/>
    <mergeCell ref="L340:L359"/>
    <mergeCell ref="A360:A364"/>
    <mergeCell ref="B360:B364"/>
    <mergeCell ref="C360:C364"/>
    <mergeCell ref="D360:D364"/>
    <mergeCell ref="E360:E364"/>
    <mergeCell ref="F360:F364"/>
    <mergeCell ref="L360:L364"/>
    <mergeCell ref="A365:A384"/>
    <mergeCell ref="B365:B384"/>
    <mergeCell ref="C365:C384"/>
    <mergeCell ref="D365:D384"/>
    <mergeCell ref="E365:E384"/>
    <mergeCell ref="F365:F384"/>
    <mergeCell ref="L365:L384"/>
    <mergeCell ref="A385:A424"/>
    <mergeCell ref="B385:B424"/>
    <mergeCell ref="C385:C424"/>
    <mergeCell ref="D385:D424"/>
    <mergeCell ref="E385:E424"/>
    <mergeCell ref="F385:F424"/>
    <mergeCell ref="L385:L424"/>
    <mergeCell ref="A425:A444"/>
    <mergeCell ref="B425:B444"/>
    <mergeCell ref="C425:C444"/>
    <mergeCell ref="D425:D444"/>
    <mergeCell ref="E425:E444"/>
    <mergeCell ref="F425:F444"/>
    <mergeCell ref="L425:L444"/>
    <mergeCell ref="A445:A464"/>
    <mergeCell ref="B445:B464"/>
    <mergeCell ref="C445:C464"/>
    <mergeCell ref="D445:D464"/>
    <mergeCell ref="E445:E464"/>
    <mergeCell ref="F445:F464"/>
    <mergeCell ref="L445:L464"/>
    <mergeCell ref="A465:A484"/>
    <mergeCell ref="B465:B484"/>
    <mergeCell ref="C465:C484"/>
    <mergeCell ref="D465:D484"/>
    <mergeCell ref="E465:E484"/>
    <mergeCell ref="F465:F484"/>
    <mergeCell ref="L465:L484"/>
    <mergeCell ref="A485:A504"/>
    <mergeCell ref="B485:B504"/>
    <mergeCell ref="C485:C504"/>
    <mergeCell ref="D485:D504"/>
    <mergeCell ref="E485:E504"/>
    <mergeCell ref="F485:F504"/>
    <mergeCell ref="L485:L504"/>
    <mergeCell ref="A505:A524"/>
    <mergeCell ref="B505:B524"/>
    <mergeCell ref="C505:C524"/>
    <mergeCell ref="D505:D524"/>
    <mergeCell ref="E505:E524"/>
    <mergeCell ref="F505:F524"/>
    <mergeCell ref="L505:L524"/>
    <mergeCell ref="A525:A544"/>
    <mergeCell ref="B525:B544"/>
    <mergeCell ref="C525:C544"/>
    <mergeCell ref="D525:D544"/>
    <mergeCell ref="E525:E544"/>
    <mergeCell ref="F525:F544"/>
    <mergeCell ref="L525:L544"/>
    <mergeCell ref="A545:A557"/>
    <mergeCell ref="B545:B557"/>
    <mergeCell ref="C545:C557"/>
    <mergeCell ref="D545:D557"/>
    <mergeCell ref="E545:E557"/>
    <mergeCell ref="F545:F557"/>
    <mergeCell ref="L545:L557"/>
    <mergeCell ref="A558:A577"/>
    <mergeCell ref="B558:B577"/>
    <mergeCell ref="C558:C577"/>
    <mergeCell ref="D558:D577"/>
    <mergeCell ref="E558:E577"/>
    <mergeCell ref="F558:F577"/>
    <mergeCell ref="L558:L577"/>
    <mergeCell ref="A578:A597"/>
    <mergeCell ref="B578:B597"/>
    <mergeCell ref="C578:C597"/>
    <mergeCell ref="D578:D597"/>
    <mergeCell ref="E578:E597"/>
    <mergeCell ref="F578:F597"/>
    <mergeCell ref="L578:L597"/>
    <mergeCell ref="A598:A617"/>
    <mergeCell ref="B598:B617"/>
    <mergeCell ref="C598:C617"/>
    <mergeCell ref="D598:D617"/>
    <mergeCell ref="E598:E617"/>
    <mergeCell ref="F598:F617"/>
    <mergeCell ref="L598:L617"/>
    <mergeCell ref="A618:A637"/>
    <mergeCell ref="B618:B637"/>
    <mergeCell ref="C618:C637"/>
    <mergeCell ref="D618:D637"/>
    <mergeCell ref="E618:E637"/>
    <mergeCell ref="F618:F637"/>
    <mergeCell ref="L618:L637"/>
    <mergeCell ref="A638:A657"/>
    <mergeCell ref="B638:B657"/>
    <mergeCell ref="C638:C657"/>
    <mergeCell ref="D638:D657"/>
    <mergeCell ref="E638:E657"/>
    <mergeCell ref="F638:F657"/>
    <mergeCell ref="L638:L657"/>
    <mergeCell ref="A658:A677"/>
    <mergeCell ref="B658:B677"/>
    <mergeCell ref="C658:C677"/>
    <mergeCell ref="D658:D677"/>
    <mergeCell ref="E658:E677"/>
    <mergeCell ref="F658:F677"/>
    <mergeCell ref="L658:L677"/>
    <mergeCell ref="A678:A683"/>
    <mergeCell ref="B678:B683"/>
    <mergeCell ref="C678:C683"/>
    <mergeCell ref="D678:D683"/>
    <mergeCell ref="E678:E683"/>
    <mergeCell ref="F678:F683"/>
    <mergeCell ref="L678:L683"/>
    <mergeCell ref="A684:A690"/>
    <mergeCell ref="B684:B690"/>
    <mergeCell ref="C684:C690"/>
    <mergeCell ref="D684:D690"/>
    <mergeCell ref="E684:E690"/>
    <mergeCell ref="F684:F690"/>
    <mergeCell ref="L684:L690"/>
    <mergeCell ref="A692:A711"/>
    <mergeCell ref="B692:B711"/>
    <mergeCell ref="C692:C711"/>
    <mergeCell ref="D692:D711"/>
    <mergeCell ref="E692:E711"/>
    <mergeCell ref="F692:F711"/>
    <mergeCell ref="L692:L711"/>
    <mergeCell ref="A712:A719"/>
    <mergeCell ref="B712:B719"/>
    <mergeCell ref="C712:C719"/>
    <mergeCell ref="D712:D719"/>
    <mergeCell ref="E712:E719"/>
    <mergeCell ref="F712:F719"/>
    <mergeCell ref="L712:L719"/>
    <mergeCell ref="A720:A726"/>
    <mergeCell ref="B720:B726"/>
    <mergeCell ref="C720:C726"/>
    <mergeCell ref="D720:D726"/>
    <mergeCell ref="E720:E726"/>
    <mergeCell ref="F720:F726"/>
    <mergeCell ref="L720:L7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2026-08-11T15:02:12Z</dcterms:created>
  <dcterms:modified xsi:type="dcterms:W3CDTF">2026-08-11T15:02:12Z</dcterms:modified>
</cp:coreProperties>
</file>