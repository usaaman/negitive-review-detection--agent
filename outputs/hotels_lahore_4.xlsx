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 Reviews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<sst xmlns="http://schemas.openxmlformats.org/spreadsheetml/2006/main" count="60" uniqueCount="42">
  <si>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Business Name</t>
  </si>
  <si>
    <t>Address</t>
  </si>
  <si>
    <t>Phone</t>
  </si>
  <si>
    <t>Business Rating</t>
  </si>
  <si>
    <t>Reviewer Name</t>
  </si>
  <si>
    <t>Review Stars</t>
  </si>
  <si>
    <t>Review Text</t>
  </si>
  <si>
    <t>Review Date</t>
  </si>
  <si>
    <t>Review Link</t>
  </si>
  <si>
    <t>Business Maps Link</t>
  </si>
  <si>
    <t>Luxus Grand Hotel</t>
  </si>
  <si>
    <t>4 Egerton Rd, near Ewan-e-Iqbal, Garhi Shahu, Lahore, 54000, Pakistan</t>
  </si>
  <si>
    <t>+92 320 1999955</t>
  </si>
  <si>
    <t>Yasir Anwar</t>
  </si>
  <si>
    <t>Great hospitality</t>
  </si>
  <si>
    <t>2026-08-09T07:04:41.807Z</t>
  </si>
  <si>
    <t>Sino DXB</t>
  </si>
  <si>
    <t>2026-08-06T20:05:32.793Z</t>
  </si>
  <si>
    <t>Sufyan Saleem</t>
  </si>
  <si>
    <t>2026-08-06T09:56:52.639Z</t>
  </si>
  <si>
    <t>Avari Hotel Lahore</t>
  </si>
  <si>
    <t>WAPDA House, Shahrah-e-Quaid-e-Azam, Garhi Shahu, Lahore, 54000, Pakistan</t>
  </si>
  <si>
    <t>+92 42 36366366</t>
  </si>
  <si>
    <t>Nadia Faisal</t>
  </si>
  <si>
    <t>Tremendous service
International standard
And warm staff
You guys are the best 💙</t>
  </si>
  <si>
    <t>2026-08-09T09:29:46.820Z</t>
  </si>
  <si>
    <t>Rana Armaan</t>
  </si>
  <si>
    <t>Excellent service given by mr sohail and shahod and sajjad</t>
  </si>
  <si>
    <t>2026-08-09T09:28:09.986Z</t>
  </si>
  <si>
    <t>Minal Khan</t>
  </si>
  <si>
    <t>Coffee was amazing by Shazia</t>
  </si>
  <si>
    <t>2026-08-09T08:46:50.330Z</t>
  </si>
  <si>
    <t>Pearl Continental Hotel, Lahore</t>
  </si>
  <si>
    <t>Shahrah-e-Quaid-e-Azam, Garhi Shahu, Lahore, Pakistan</t>
  </si>
  <si>
    <t>+92 42 111 505 505</t>
  </si>
  <si>
    <t>Rashid Munir</t>
  </si>
  <si>
    <t>2026-08-09T06:38:12.634Z</t>
  </si>
  <si>
    <t>Muhammad Kashir Maroof</t>
  </si>
  <si>
    <t>2026-08-09T02:37:03.133Z</t>
  </si>
  <si>
    <t>Syed Danial Munsif</t>
  </si>
  <si>
    <t>Good experience went there to attend a seminar there</t>
  </si>
  <si>
    <t>2026-08-08T15:55:50.065Z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</si>
</sst>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34.7109375" customWidth="1"/>
    <col min="2" max="2" width="76.7109375" customWidth="1"/>
    <col min="3" max="3" width="21.7109375" customWidth="1"/>
    <col min="4" max="4" width="18.7109375" customWidth="1"/>
    <col min="5" max="5" width="25.7109375" customWidth="1"/>
    <col min="6" max="6" width="15.7109375" customWidth="1"/>
    <col min="7" max="7" width="83.7109375" customWidth="1"/>
    <col min="8" max="8" width="27.7109375" customWidth="1"/>
    <col min="9" max="9" width="14.7109375" customWidth="1"/>
    <col min="10" max="10" width="21.7109375" customWidth="1"/>
  </cols>
  <sheetData>
    <row r="1" spans="1:10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>
      <c r="A2" s="2" t="s">
        <v>10</v>
      </c>
      <c r="B2" s="2" t="s">
        <v>11</v>
      </c>
      <c r="C2" s="2" t="s">
        <v>12</v>
      </c>
      <c r="D2" s="3">
        <v>4.4</v>
      </c>
      <c r="E2" s="2" t="s">
        <v>13</v>
      </c>
      <c r="F2" s="3">
        <v>5</v>
      </c>
      <c r="G2" s="4" t="s">
        <v>14</v>
      </c>
      <c r="H2" s="3" t="s">
        <v>15</v>
      </c>
      <c r="I2" s="5" t="str">
        <f>HYPERLINK("https://www.google.com/maps/reviews/data=!4m8!14m7!1m6!2m5!1sCi9DQUlRQUNvZENodHljRjlvT2twTFJXWlBRbVZKZHpFNVJreFZabVYzYzBad1IzYxAB!2m1!1s0x0:0xcc403b26a54467e!3m1!1s2@1:CAIQACodChtycF9oOkpLRWZPQmVJdzE5RkxVZmV3c0ZwR3c%7C%7C?hl=en", "View Link")</f>
        <v>View Link</v>
      </c>
      <c r="J2" s="5" t="str">
        <f>HYPERLINK("https://www.google.com/maps/search/?api=1&amp;query=Luxus%20Grand%20Hotel&amp;query_place_id=ChIJceF4S0sbGTkRfkZUarIDxAw", "Open Map")</f>
        <v>Open Map</v>
      </c>
    </row>
    <row r="3" spans="1:10" ht="20" customHeight="1">
      <c r="A3" s="2" t="s">
        <v>10</v>
      </c>
      <c r="B3" s="2" t="s">
        <v>11</v>
      </c>
      <c r="C3" s="2" t="s">
        <v>12</v>
      </c>
      <c r="D3" s="3">
        <v>4.4</v>
      </c>
      <c r="E3" s="2" t="s">
        <v>16</v>
      </c>
      <c r="F3" s="3">
        <v>4</v>
      </c>
      <c r="G3" s="4"/>
      <c r="H3" s="3" t="s">
        <v>17</v>
      </c>
      <c r="I3" s="5" t="str">
        <f>HYPERLINK("https://www.google.com/maps/reviews/data=!4m8!14m7!1m6!2m5!1sCi9DQUlRQUNvZENodHljRjlvT25veVJWbGphbm94U25CMFgwSjFSRTVHY3kwMlNtYxAB!2m1!1s0x0:0xcc403b26a54467e!3m1!1s2@1:CAIQACodChtycF9oOnoyRVljanoxSnB0X0J1RE5Gcy02Smc%7C%7C?hl=en", "View Link")</f>
        <v>View Link</v>
      </c>
      <c r="J3" s="5" t="str">
        <f>HYPERLINK("https://www.google.com/maps/search/?api=1&amp;query=Luxus%20Grand%20Hotel&amp;query_place_id=ChIJceF4S0sbGTkRfkZUarIDxAw", "Open Map")</f>
        <v>Open Map</v>
      </c>
    </row>
    <row r="4" spans="1:10" ht="20" customHeight="1">
      <c r="A4" s="2" t="s">
        <v>10</v>
      </c>
      <c r="B4" s="2" t="s">
        <v>11</v>
      </c>
      <c r="C4" s="2" t="s">
        <v>12</v>
      </c>
      <c r="D4" s="3">
        <v>4.4</v>
      </c>
      <c r="E4" s="2" t="s">
        <v>18</v>
      </c>
      <c r="F4" s="3">
        <v>5</v>
      </c>
      <c r="G4" s="4"/>
      <c r="H4" s="3" t="s">
        <v>19</v>
      </c>
      <c r="I4" s="5" t="str">
        <f>HYPERLINK("https://www.google.com/maps/reviews/data=!4m8!14m7!1m6!2m5!1sCi9DQUlRQUNvZENodHljRjlvT25seU1scHNhSFZNTjJGVGFESk9iM1ZUWDBkTmIwRRAB!2m1!1s0x0:0xcc403b26a54467e!3m1!1s2@1:CAIQACodChtycF9oOnlyMlpsaHVMN2FTaDJOb3VTX0dNb0E%7C%7C?hl=en", "View Link")</f>
        <v>View Link</v>
      </c>
      <c r="J4" s="5" t="str">
        <f>HYPERLINK("https://www.google.com/maps/search/?api=1&amp;query=Luxus%20Grand%20Hotel&amp;query_place_id=ChIJceF4S0sbGTkRfkZUarIDxAw", "Open Map")</f>
        <v>Open Map</v>
      </c>
    </row>
    <row r="5" spans="1:10" ht="20" customHeight="1">
      <c r="A5" s="2" t="s">
        <v>20</v>
      </c>
      <c r="B5" s="2" t="s">
        <v>21</v>
      </c>
      <c r="C5" s="2" t="s">
        <v>22</v>
      </c>
      <c r="D5" s="3">
        <v>4.8</v>
      </c>
      <c r="E5" s="2" t="s">
        <v>23</v>
      </c>
      <c r="F5" s="3">
        <v>5</v>
      </c>
      <c r="G5" s="4" t="s">
        <v>24</v>
      </c>
      <c r="H5" s="3" t="s">
        <v>25</v>
      </c>
      <c r="I5" s="5" t="str">
        <f>HYPERLINK("https://www.google.com/maps/reviews/data=!4m8!14m7!1m6!2m5!1sCi9DQUlRQUNvZENodHljRjlvT2xrMFQyNWpiRTVXZEc1d2FuZGFSbDlhTFZJMWFVRRAB!2m1!1s0x0:0xae625d2b5953d128!3m1!1s2@1:CAIQACodChtycF9oOlk0T25jbE5WdG5wandaRl9aLVI1aUE%7C%7C?hl=en", "View Link")</f>
        <v>View Link</v>
      </c>
      <c r="J5" s="5" t="str">
        <f>HYPERLINK("https://www.google.com/maps/search/?api=1&amp;query=Avari%20Hotel%20Lahore&amp;query_place_id=ChIJnUR5DbMEGTkRKNFTWStdYq4", "Open Map")</f>
        <v>Open Map</v>
      </c>
    </row>
    <row r="6" spans="1:10" ht="20" customHeight="1">
      <c r="A6" s="2" t="s">
        <v>20</v>
      </c>
      <c r="B6" s="2" t="s">
        <v>21</v>
      </c>
      <c r="C6" s="2" t="s">
        <v>22</v>
      </c>
      <c r="D6" s="3">
        <v>4.8</v>
      </c>
      <c r="E6" s="2" t="s">
        <v>26</v>
      </c>
      <c r="F6" s="3">
        <v>5</v>
      </c>
      <c r="G6" s="4" t="s">
        <v>27</v>
      </c>
      <c r="H6" s="3" t="s">
        <v>28</v>
      </c>
      <c r="I6" s="5" t="str">
        <f>HYPERLINK("https://www.google.com/maps/reviews/data=!4m8!14m7!1m6!2m5!1sCi9DQUlRQUNvZENodHljRjlvT21oMFNHdGFaVXB1WDFKbWJXTnNjazVzUW5ocGNVRRAB!2m1!1s0x0:0xae625d2b5953d128!3m1!1s2@1:CAIQACodChtycF9oOmh0SGtaZUpuX1JmbWNsck5sQnhpcUE%7C%7C?hl=en", "View Link")</f>
        <v>View Link</v>
      </c>
      <c r="J6" s="5" t="str">
        <f>HYPERLINK("https://www.google.com/maps/search/?api=1&amp;query=Avari%20Hotel%20Lahore&amp;query_place_id=ChIJnUR5DbMEGTkRKNFTWStdYq4", "Open Map")</f>
        <v>Open Map</v>
      </c>
    </row>
    <row r="7" spans="1:10" ht="20" customHeight="1">
      <c r="A7" s="2" t="s">
        <v>20</v>
      </c>
      <c r="B7" s="2" t="s">
        <v>21</v>
      </c>
      <c r="C7" s="2" t="s">
        <v>22</v>
      </c>
      <c r="D7" s="3">
        <v>4.8</v>
      </c>
      <c r="E7" s="2" t="s">
        <v>29</v>
      </c>
      <c r="F7" s="3">
        <v>5</v>
      </c>
      <c r="G7" s="4" t="s">
        <v>30</v>
      </c>
      <c r="H7" s="3" t="s">
        <v>31</v>
      </c>
      <c r="I7" s="5" t="str">
        <f>HYPERLINK("https://www.google.com/maps/reviews/data=!4m8!14m7!1m6!2m5!1sCi9DQUlRQUNvZENodHljRjlvT2tFNWNsVlpZbFIzZUVwMWRXUmpTMlV6WmpWYWNGRRAB!2m1!1s0x0:0xae625d2b5953d128!3m1!1s2@1:CAIQACodChtycF9oOkE5clVZYlR3eEp1dWRjS2UzZjVacFE%7C%7C?hl=en", "View Link")</f>
        <v>View Link</v>
      </c>
      <c r="J7" s="5" t="str">
        <f>HYPERLINK("https://www.google.com/maps/search/?api=1&amp;query=Avari%20Hotel%20Lahore&amp;query_place_id=ChIJnUR5DbMEGTkRKNFTWStdYq4", "Open Map")</f>
        <v>Open Map</v>
      </c>
    </row>
    <row r="8" spans="1:10" ht="20" customHeight="1">
      <c r="A8" s="2" t="s">
        <v>32</v>
      </c>
      <c r="B8" s="2" t="s">
        <v>33</v>
      </c>
      <c r="C8" s="2" t="s">
        <v>34</v>
      </c>
      <c r="D8" s="3">
        <v>4.4</v>
      </c>
      <c r="E8" s="2" t="s">
        <v>35</v>
      </c>
      <c r="F8" s="3">
        <v>3</v>
      </c>
      <c r="G8" s="4"/>
      <c r="H8" s="3" t="s">
        <v>36</v>
      </c>
      <c r="I8" s="5" t="str">
        <f>HYPERLINK("https://www.google.com/maps/reviews/data=!4m8!14m7!1m6!2m5!1sCi9DQUlRQUNvZENodHljRjlvT25OalgzRndWMHB6Y2poUGVsVm9jamgzYVRKdWRWRRAB!2m1!1s0x0:0xd70a28b88f7720d7!3m1!1s2@1:CAIQACodChtycF9oOnNjX3FwV0pzcjhPelVocjh3aTJudVE%7C%7C?hl=en", "View Link")</f>
        <v>View Link</v>
      </c>
      <c r="J8" s="5" t="str">
        <f>HYPERLINK("https://www.google.com/maps/search/?api=1&amp;query=Pearl%20Continental%20Hotel%2C%20Lahore&amp;query_place_id=ChIJ6adtYMgEGTkR1yB3j7goCtc", "Open Map")</f>
        <v>Open Map</v>
      </c>
    </row>
    <row r="9" spans="1:10" ht="20" customHeight="1">
      <c r="A9" s="2" t="s">
        <v>32</v>
      </c>
      <c r="B9" s="2" t="s">
        <v>33</v>
      </c>
      <c r="C9" s="2" t="s">
        <v>34</v>
      </c>
      <c r="D9" s="3">
        <v>4.4</v>
      </c>
      <c r="E9" s="2" t="s">
        <v>37</v>
      </c>
      <c r="F9" s="3">
        <v>5</v>
      </c>
      <c r="G9" s="4"/>
      <c r="H9" s="3" t="s">
        <v>38</v>
      </c>
      <c r="I9" s="5" t="str">
        <f>HYPERLINK("https://www.google.com/maps/reviews/data=!4m8!14m7!1m6!2m5!1sCi9DQUlRQUNvZENodHljRjlvT2s5bVVrdHdlRXR6YjNwd1pFbFdaR2M0TkRaQ2RGRRAB!2m1!1s0x0:0xd70a28b88f7720d7!3m1!1s2@1:CAIQACodChtycF9oOk9mUktweEtzb3pwZElWZGc4NDZCdFE%7C%7C?hl=en", "View Link")</f>
        <v>View Link</v>
      </c>
      <c r="J9" s="5" t="str">
        <f>HYPERLINK("https://www.google.com/maps/search/?api=1&amp;query=Pearl%20Continental%20Hotel%2C%20Lahore&amp;query_place_id=ChIJ6adtYMgEGTkR1yB3j7goCtc", "Open Map")</f>
        <v>Open Map</v>
      </c>
    </row>
    <row r="10" spans="1:10" ht="20" customHeight="1">
      <c r="A10" s="2" t="s">
        <v>32</v>
      </c>
      <c r="B10" s="2" t="s">
        <v>33</v>
      </c>
      <c r="C10" s="2" t="s">
        <v>34</v>
      </c>
      <c r="D10" s="3">
        <v>4.4</v>
      </c>
      <c r="E10" s="2" t="s">
        <v>39</v>
      </c>
      <c r="F10" s="3">
        <v>5</v>
      </c>
      <c r="G10" s="4" t="s">
        <v>40</v>
      </c>
      <c r="H10" s="3" t="s">
        <v>41</v>
      </c>
      <c r="I10" s="5" t="str">
        <f>HYPERLINK("https://www.google.com/maps/reviews/data=!4m8!14m7!1m6!2m5!1sCi9DQUlRQUNvZENodHljRjlvT2psZk1tNXhUek13Y0ZSSllTMDBWRE5YTlV0SlNGRRAB!2m1!1s0x0:0xd70a28b88f7720d7!3m1!1s2@1:CAIQACodChtycF9oOjlfMm5xTzMwcFRJYS00VDNXNUtJSFE%7C%7C?hl=en", "View Link")</f>
        <v>View Link</v>
      </c>
      <c r="J10" s="5" t="str">
        <f>HYPERLINK("https://www.google.com/maps/search/?api=1&amp;query=Pearl%20Continental%20Hotel%2C%20Lahore&amp;query_place_id=ChIJ6adtYMgEGTkR1yB3j7goCtc", "Open Map")</f>
        <v>Open Map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 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2026-08-09T15:15:34Z</dcterms:created>
  <dcterms:modified xsi:type="dcterms:W3CDTF">2026-08-09T15:15:34Z</dcterms:modified>
</cp:coreProperties>
</file>